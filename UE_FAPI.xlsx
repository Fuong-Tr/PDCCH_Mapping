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WorkSpace\5G\Design\Doc\"/>
    </mc:Choice>
  </mc:AlternateContent>
  <xr:revisionPtr revIDLastSave="0" documentId="13_ncr:1_{BA4C6C45-7AB5-4F78-A9F2-B1D194C08353}" xr6:coauthVersionLast="47" xr6:coauthVersionMax="47" xr10:uidLastSave="{00000000-0000-0000-0000-000000000000}"/>
  <bookViews>
    <workbookView xWindow="28680" yWindow="-120" windowWidth="29040" windowHeight="15720" activeTab="8" xr2:uid="{5AB7ED65-73A9-4AB5-86EF-043B348A0AF5}"/>
  </bookViews>
  <sheets>
    <sheet name="UE L2&lt;-&gt;L1" sheetId="1" r:id="rId1"/>
    <sheet name="static config MAC" sheetId="7" r:id="rId2"/>
    <sheet name="Sheet2" sheetId="9" r:id="rId3"/>
    <sheet name="PL Register Layer" sheetId="8" r:id="rId4"/>
    <sheet name="L3 &lt;-&gt; L2" sheetId="2" r:id="rId5"/>
    <sheet name="gNB MAC-L1" sheetId="3" r:id="rId6"/>
    <sheet name="RRC-Message" sheetId="4" r:id="rId7"/>
    <sheet name="Sheet1" sheetId="6" r:id="rId8"/>
    <sheet name="gNB L2 &lt;-&gt; L1"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7" l="1"/>
  <c r="A14" i="7"/>
  <c r="A24" i="7" l="1"/>
  <c r="A183" i="7"/>
  <c r="A196" i="7"/>
</calcChain>
</file>

<file path=xl/sharedStrings.xml><?xml version="1.0" encoding="utf-8"?>
<sst xmlns="http://schemas.openxmlformats.org/spreadsheetml/2006/main" count="2256" uniqueCount="1246">
  <si>
    <t>STT</t>
  </si>
  <si>
    <t>Field</t>
  </si>
  <si>
    <t>Type</t>
  </si>
  <si>
    <t>Mô tả</t>
  </si>
  <si>
    <t>sfn</t>
  </si>
  <si>
    <t>uint16_t</t>
  </si>
  <si>
    <t>uint8_t</t>
  </si>
  <si>
    <t>msg_type</t>
  </si>
  <si>
    <t>RACH_msg1.req
-Bản tin lập lịch yêu cầu L1 tạo và gửi MSG1</t>
  </si>
  <si>
    <t>RNTI</t>
  </si>
  <si>
    <t>aggregationLevel_And_Candidate</t>
  </si>
  <si>
    <t>uint8_t[5]</t>
  </si>
  <si>
    <r>
      <t xml:space="preserve">Aggregation Level và Số candidate tương ứng. </t>
    </r>
    <r>
      <rPr>
        <b/>
        <sz val="11"/>
        <color theme="1"/>
        <rFont val="Calibri"/>
        <family val="2"/>
        <scheme val="minor"/>
      </rPr>
      <t>Chú ý nếu giá trị Candidate = 0 tức là Aggregation Level tương ứng không được sử dụng</t>
    </r>
    <r>
      <rPr>
        <sz val="11"/>
        <color theme="1"/>
        <rFont val="Calibri"/>
        <family val="2"/>
        <scheme val="minor"/>
      </rPr>
      <t>.
 - Byte0 : Số candidate tương ứng với Aggregation Level1
 - Byte1: Số candidate tương ứng với Aggregation Level2
 - Byte2: Số candidate tương ứng với Agg level 4
 - Byte3: Số candidate tương ứng với Agg level 8
 - Byte4: Số candididate tương ứng với Agg level 16</t>
    </r>
  </si>
  <si>
    <t>RACH_MSG1</t>
  </si>
  <si>
    <t>PDCCH</t>
  </si>
  <si>
    <t>request_ID</t>
  </si>
  <si>
    <t>Mục 1</t>
  </si>
  <si>
    <t>Nghiên cứu mục 5.1.4.1 TS 38214</t>
  </si>
  <si>
    <t>PUCCH</t>
  </si>
  <si>
    <t>structure</t>
  </si>
  <si>
    <t>Câu hỏi</t>
  </si>
  <si>
    <t>pi2BPSK</t>
  </si>
  <si>
    <t>Trong 1 slot L2 có thể gửi nhiều PDCCH.req xuống L1. Mỗi PDCCH.req tương ứng 1 searchspace mà gNB có thể sử dụng để gửi DCI. UE phải kiểm tra tất cả các searchspace này.</t>
  </si>
  <si>
    <t>interslotFrequencyHopping</t>
  </si>
  <si>
    <t>additionalDMRS</t>
  </si>
  <si>
    <t>uint8_t[10]</t>
  </si>
  <si>
    <t>PDCCH_INDICATION</t>
  </si>
  <si>
    <t>PDSCH_received.indication</t>
  </si>
  <si>
    <t>PDCCH_received.indication</t>
  </si>
  <si>
    <t>PDSCH_RECEIVE</t>
  </si>
  <si>
    <t>slot index</t>
  </si>
  <si>
    <t>Slot index trong 1 Khung (Frame). Giá trị 0..159</t>
  </si>
  <si>
    <t>Số khung. Giá trị 0..1023</t>
  </si>
  <si>
    <t>SRAM_ALLOC_REQUEST</t>
  </si>
  <si>
    <t>data_len</t>
  </si>
  <si>
    <t>Kích thước Request, đơn vị byte</t>
  </si>
  <si>
    <t>Request_ID</t>
  </si>
  <si>
    <t>ID</t>
  </si>
  <si>
    <t>SRAM_ALLOC_GRANT</t>
  </si>
  <si>
    <t>Là ID của Request</t>
  </si>
  <si>
    <t>SRAM_FOR_RLC_SDU_GRANT.indication</t>
  </si>
  <si>
    <t>block_list</t>
  </si>
  <si>
    <t>Xem mục 1</t>
  </si>
  <si>
    <t>SRAM_RELEASE.req</t>
  </si>
  <si>
    <t>SRAM_RELEASE</t>
  </si>
  <si>
    <t>RX_DATA.indication</t>
  </si>
  <si>
    <t>MAC2RLC_RX_DATA</t>
  </si>
  <si>
    <t>rx_descriptor</t>
  </si>
  <si>
    <t>LCP_DATA_REQUEST</t>
  </si>
  <si>
    <t>data_request</t>
  </si>
  <si>
    <t>uint16_t[33]</t>
  </si>
  <si>
    <t>mảng 33 phần tử. Mỗi phần tử uint16_t là số byte MAC request RLC yêu cầu số byte từ LCID tương ứng.
- data_request [0] : Số byte LCID0 (CCCH channel) cần gửi (bao gồm cả header)
- data_request [1] : Số byte LCID #1 cần gửi.
…
- data_request [32]: Số byte LCID #32 cần gửi</t>
  </si>
  <si>
    <t>RLC_TX_DATA</t>
  </si>
  <si>
    <t>Request ID</t>
  </si>
  <si>
    <t>BSR_INFO.indication</t>
  </si>
  <si>
    <t>BSR_INFO</t>
  </si>
  <si>
    <t>BSR_INFO_REQ</t>
  </si>
  <si>
    <t>buffer_status</t>
  </si>
  <si>
    <t>mảng 33 phần tử. Mỗi phần tử uint16_t là số byte Mỗi LCID sẵn sàng để gửi.
-  [0] : Số byte LCID0 (CCCH channel) sẵn sàng gửi
-  [1] : Số byte LCID #1 sẵn sàng gửi.
…
-  [32]: Số byte LCID #32 sẵn sàng gửi</t>
  </si>
  <si>
    <t>BLOCK LIST STRUCTURE</t>
  </si>
  <si>
    <t>Nr_Of_Block</t>
  </si>
  <si>
    <t>Số block được cấp</t>
  </si>
  <si>
    <t>Block_index</t>
  </si>
  <si>
    <t>uint16_t[64]</t>
  </si>
  <si>
    <t>Danh sách địa chỉ các block được cấp cho 1 RLC SDU. Tối đa 64 block</t>
  </si>
  <si>
    <t>RX DESCRIPTOR STRUCTURE</t>
  </si>
  <si>
    <t>LCID</t>
  </si>
  <si>
    <t>giá trị 0..32</t>
  </si>
  <si>
    <t>Số RLC PDU nhận</t>
  </si>
  <si>
    <t>RLC pdu size, đơn vị là byte</t>
  </si>
  <si>
    <t>Nr_PDU</t>
  </si>
  <si>
    <t>Trường thông tin này có thể không cần, vì RLC có thể tự tính dựa vào vị trí MAC header</t>
  </si>
  <si>
    <t>Block_addr_list</t>
  </si>
  <si>
    <t>Danh sách block chứa payload</t>
  </si>
  <si>
    <t>mac_header_offset_list</t>
  </si>
  <si>
    <t>rlc_pdu_len_list</t>
  </si>
  <si>
    <t>vị trí mac header là số byte offset so với byte 0 của start block đầu tiên. 
Ví dụ: [0] = 100 - Mac header #0 nằm ở byte thứ 100 của block đầu tiên
[1] = A - Mac header #1 nằm ở  byte thứ A % BLOCK_SIZE của  block thứ ceil(A / BLOCK_SIZE) trong block list</t>
  </si>
  <si>
    <t>uint8_t[64]</t>
  </si>
  <si>
    <t>mac_header_len_list</t>
  </si>
  <si>
    <t>Độ dài của từng MAC header</t>
  </si>
  <si>
    <t>RLC_PDU_INFO STRUCTURE</t>
  </si>
  <si>
    <t>header_len</t>
  </si>
  <si>
    <t>RLC header length của 1 RLC PDU</t>
  </si>
  <si>
    <t>header_data</t>
  </si>
  <si>
    <t>RLC header tối đa là 5 Byte. 5 Byte reserved để MAC điền MAC header vào</t>
  </si>
  <si>
    <t>RLC_PDU_len</t>
  </si>
  <si>
    <t>Size của RLC PDU, đơn vị byte</t>
  </si>
  <si>
    <t>Nr_of_block</t>
  </si>
  <si>
    <t xml:space="preserve">Số block chứa RLC PDU </t>
  </si>
  <si>
    <t>block_addr_list</t>
  </si>
  <si>
    <t>Danh sách địa chỉ các block trong SRAM chứa RLC PDU</t>
  </si>
  <si>
    <t>ID của TX_DATA request.
MAC biết trước RLC gửi data của những LCID nào, và đọc DMA thông tin metadata của từng LCID (cấu trúc metadata xem định nghĩa tại mục 3) sau đó tiến hành Multiplexer để tạo UL TB</t>
  </si>
  <si>
    <t>RACH_START.req</t>
  </si>
  <si>
    <r>
      <rPr>
        <b/>
        <sz val="11"/>
        <color theme="1"/>
        <rFont val="Calibri"/>
        <family val="2"/>
        <scheme val="minor"/>
      </rPr>
      <t>BSR_INFO_REQ.req</t>
    </r>
    <r>
      <rPr>
        <sz val="11"/>
        <color theme="1"/>
        <rFont val="Calibri"/>
        <family val="2"/>
        <scheme val="minor"/>
      </rPr>
      <t xml:space="preserve">
- Buffer status Request</t>
    </r>
  </si>
  <si>
    <r>
      <rPr>
        <b/>
        <sz val="11"/>
        <color theme="1"/>
        <rFont val="Calibri"/>
        <family val="2"/>
        <scheme val="minor"/>
      </rPr>
      <t>SRAM_FOR_RLC_SDU_REQ.req</t>
    </r>
    <r>
      <rPr>
        <sz val="11"/>
        <color theme="1"/>
        <rFont val="Calibri"/>
        <family val="2"/>
        <scheme val="minor"/>
      </rPr>
      <t xml:space="preserve">
- Request cho đầy đủ và duy nhất 1 RLC SDU</t>
    </r>
  </si>
  <si>
    <r>
      <rPr>
        <b/>
        <sz val="11"/>
        <color theme="1"/>
        <rFont val="Calibri"/>
        <family val="2"/>
        <scheme val="minor"/>
      </rPr>
      <t>TX_DATA.req</t>
    </r>
    <r>
      <rPr>
        <sz val="11"/>
        <color theme="1"/>
        <rFont val="Calibri"/>
        <family val="2"/>
        <scheme val="minor"/>
      </rPr>
      <t xml:space="preserve">
(Sau khi thực hiện thuật toán LCP, MAC yêu Cầu data từ RLC để đóng gói Transport Block</t>
    </r>
  </si>
  <si>
    <t>RACH_START</t>
  </si>
  <si>
    <t>RACH_STATUS.indication</t>
  </si>
  <si>
    <t>RACH_STATUS</t>
  </si>
  <si>
    <t>status</t>
  </si>
  <si>
    <t>0 - FALSE
1 - SUCCESS</t>
  </si>
  <si>
    <t>Giá trị Bit: 0 - Present, 1 - Not present
Bit String mỗi bit đại diện cho việc RX_data có bao gồm dữ liệu cho LCID đó không.
Ví dụ: Bit 0 = 1 - Trong RX DATA có thông tin của LCID #0. 
             Bit 1 = 0 - Trong RX DATA không có thông tin của LCID #1.
RLC đọc thông tin RX metadata của LCID tại SRAM qua  đường DMA. Cấu trúc RX metadata mô tả tại mục 2</t>
  </si>
  <si>
    <t>là giá trị Request ID trong RACH_START.req</t>
  </si>
  <si>
    <t>RRC_STATE_UPDATE.req</t>
  </si>
  <si>
    <t>RRC_STATE_UPDATE</t>
  </si>
  <si>
    <t xml:space="preserve">rrc_state </t>
  </si>
  <si>
    <t>0 - IDLE
1 - INACTIVE
2 - CONNECTED</t>
  </si>
  <si>
    <t>RLC_TX_DATA.indication</t>
  </si>
  <si>
    <t>MIB</t>
  </si>
  <si>
    <t>ssb_scs</t>
  </si>
  <si>
    <t>uint32_t</t>
  </si>
  <si>
    <t>Bandwidth</t>
  </si>
  <si>
    <r>
      <rPr>
        <b/>
        <sz val="11"/>
        <color theme="1"/>
        <rFont val="Calibri"/>
        <family val="2"/>
        <scheme val="minor"/>
      </rPr>
      <t>PUCCH_SCHEDULE.req</t>
    </r>
    <r>
      <rPr>
        <sz val="11"/>
        <color theme="1"/>
        <rFont val="Calibri"/>
        <family val="2"/>
        <scheme val="minor"/>
      </rPr>
      <t xml:space="preserve">
- Lập lịch sau khi đã kết nối với gNB (RRC-CONNECTED). Đối với  RRC-IDLE, bản tin lập lịch PUCCH_COMMON_SCHEDULE.req được sử dụng</t>
    </r>
  </si>
  <si>
    <t>mục 4</t>
  </si>
  <si>
    <t>CellID</t>
  </si>
  <si>
    <t>rx_descriptor_location</t>
  </si>
  <si>
    <t>giá trị 0..15. Tại L2 SRAM, dành ra 16 location cho RX descriptor.</t>
  </si>
  <si>
    <t>SIB1/ OtherSIB / RRCSetup / RRCReconfiguration</t>
  </si>
  <si>
    <t>block_addr</t>
  </si>
  <si>
    <t>Vị trí block chứa RRC message</t>
  </si>
  <si>
    <t>msg_len</t>
  </si>
  <si>
    <t>Số byte trong RRC message</t>
  </si>
  <si>
    <r>
      <t xml:space="preserve">RRC_MSG.indication
</t>
    </r>
    <r>
      <rPr>
        <b/>
        <i/>
        <sz val="11"/>
        <color theme="1"/>
        <rFont val="Calibri"/>
        <family val="2"/>
        <scheme val="minor"/>
      </rPr>
      <t>(MAC phân biệt các bản tin này dựa vào</t>
    </r>
    <r>
      <rPr>
        <b/>
        <sz val="11"/>
        <color theme="1"/>
        <rFont val="Calibri"/>
        <family val="2"/>
        <scheme val="minor"/>
      </rPr>
      <t xml:space="preserve"> RNTI và LCID)
- TH1: Nếu RNTI = 0xFFFF =&gt; SIB1 hoặc OtherSIB. MAC tiếp tục quyết định dựa trên thời điểm nhận để phân loại SIB1 và other SIB
 - TH2: Nếu RNTI = C-RNTI hoặc TC-RNTI (trong quá trình RACH), MAC dựa vào LCID (0 - RRC Setup, 1,2,3 là RRC reconfig). LCID = 4-&gt;32: Dữ liệu User</t>
    </r>
  </si>
  <si>
    <t>Loại bản tin</t>
  </si>
  <si>
    <t>RRC message</t>
  </si>
  <si>
    <t>BCCH-BCH-Message</t>
  </si>
  <si>
    <t>BCCH-DL-SCH-Message</t>
  </si>
  <si>
    <t>Direction</t>
  </si>
  <si>
    <t>gNB to UE</t>
  </si>
  <si>
    <t>- SystemInformation (SIB2,3,4…)
- SIB1</t>
  </si>
  <si>
    <t>DL-SCH on the BCCH logical channel</t>
  </si>
  <si>
    <t>BCH on the BCCH logical channel</t>
  </si>
  <si>
    <t>DL-CCCH-Message</t>
  </si>
  <si>
    <t>downlink CCCH logical channel</t>
  </si>
  <si>
    <t>- RRCReject
- RRCSetup</t>
  </si>
  <si>
    <t>downlink DCCH logical channel</t>
  </si>
  <si>
    <t>- rrcReconfiguration
- RRCResume
- RRCRelease
- RRCReestablishment
- SecurityModeCommand
- DLInformationTransfer
- UECapabilityEnquiry
- CounterCheck
- MobilityFromNRCommand</t>
  </si>
  <si>
    <t>PCCH-Message</t>
  </si>
  <si>
    <t>Paging</t>
  </si>
  <si>
    <t>PCCH logical channel</t>
  </si>
  <si>
    <t>UL-CCCH-Message</t>
  </si>
  <si>
    <t>- RRCSetupRequest
- RRCResumeRequest
- RRCReestablishmentRequest
- RRCSystemInfoRequest</t>
  </si>
  <si>
    <t>uplink CCCH logical channel</t>
  </si>
  <si>
    <t>UL-CCCH1-Message</t>
  </si>
  <si>
    <t>RRCResumeRequest1</t>
  </si>
  <si>
    <t>uplink CCCH1 logical channel</t>
  </si>
  <si>
    <t>UL-DCCH-Message</t>
  </si>
  <si>
    <t>- MeasurementReport
- RRCReconfigurationComplete
- RRCSetupComplete
- RRCReestablishmentComplete
- RRCResumeComplete
- SecurityModeComplete
- SecurityModeFailure
- ULInformationTransfer
- LocationMeasurementIndication
- UECapabilityInformation
- CounterCheckResponse
- UEAssistanceInformation</t>
  </si>
  <si>
    <t>UE to gNB</t>
  </si>
  <si>
    <t>Logical Channel ID</t>
  </si>
  <si>
    <t>RLC-SAP</t>
  </si>
  <si>
    <t>TM (Transparent)</t>
  </si>
  <si>
    <t>Logical Channel</t>
  </si>
  <si>
    <t>TM</t>
  </si>
  <si>
    <t>SRB</t>
  </si>
  <si>
    <t>NA</t>
  </si>
  <si>
    <t>SRB0</t>
  </si>
  <si>
    <t>SRB1 or SRB3</t>
  </si>
  <si>
    <t>AM</t>
  </si>
  <si>
    <t>DCCH</t>
  </si>
  <si>
    <t>1-32</t>
  </si>
  <si>
    <t>DL-DCCH-Message
(DCCH : Dedicated Control Channel)</t>
  </si>
  <si>
    <t>SI-RNTI</t>
  </si>
  <si>
    <t>TC-RNTI</t>
  </si>
  <si>
    <t>C-RNTI</t>
  </si>
  <si>
    <t>P-RNTI</t>
  </si>
  <si>
    <t>Need S</t>
  </si>
  <si>
    <t>Đọc kỹ mô tả của trường thông tin</t>
  </si>
  <si>
    <t>Need R</t>
  </si>
  <si>
    <t>Need M</t>
  </si>
  <si>
    <t>Giữ nguyên giá trị cũ (Nếu bản tin không có trường này)</t>
  </si>
  <si>
    <t>Need N</t>
  </si>
  <si>
    <t>Nếu bản tin không chứa thông tin này, xóa dữ liệu cũ</t>
  </si>
  <si>
    <t>Khi UE nhận được bản tin từ gNB có chứa trường dữ liệu được đánh dấu là Need N, nó sẽ kích hoạt hành động ngay lập tức. Sau khi thực hiện xong, nó không lưu lại giá trị đó vào bộ nhớ</t>
  </si>
  <si>
    <t>IMM_flag</t>
  </si>
  <si>
    <t>Case Specific</t>
  </si>
  <si>
    <t>IMM_flag=1</t>
  </si>
  <si>
    <t>IMM_flag=0</t>
  </si>
  <si>
    <t>Reserved</t>
  </si>
  <si>
    <t>RLC SDU Address</t>
  </si>
  <si>
    <t>rlc_payload_size (RLC SDU)</t>
  </si>
  <si>
    <t>Coreset_info {</t>
  </si>
  <si>
    <t>frequency_domain_resource</t>
  </si>
  <si>
    <t>StartSymbolIndex</t>
  </si>
  <si>
    <t>StartSymbolBitmap</t>
  </si>
  <si>
    <t>duration</t>
  </si>
  <si>
    <t>CceRegMappingType</t>
  </si>
  <si>
    <t>RegBundleSize</t>
  </si>
  <si>
    <t>InterleaverSize</t>
  </si>
  <si>
    <t>ShiftIndex</t>
  </si>
  <si>
    <t>CoreSetType</t>
  </si>
  <si>
    <t>precoder_granularity</t>
  </si>
  <si>
    <t>pdcch_dmrs_scrambling_id</t>
  </si>
  <si>
    <t>scrambling_rnti</t>
  </si>
  <si>
    <t>uint8_t [6]</t>
  </si>
  <si>
    <t>BWP size</t>
  </si>
  <si>
    <t>BWP start</t>
  </si>
  <si>
    <t>SubcarrierSpacing</t>
  </si>
  <si>
    <t>0..4</t>
  </si>
  <si>
    <t>num_dci_options</t>
  </si>
  <si>
    <t>dci_length_options</t>
  </si>
  <si>
    <t>uint8_t[2]</t>
  </si>
  <si>
    <t>Giá trị size của PDCCH mà L1 cần thử decode</t>
  </si>
  <si>
    <t>nfapi_nr_dci_formats_e</t>
  </si>
  <si>
    <t>0 : DCI format 0_0 hoặc 1_0
1 : DCI format 0_1 hoặc 1_1</t>
  </si>
  <si>
    <t>ss_type_options</t>
  </si>
  <si>
    <t>ok</t>
  </si>
  <si>
    <t>res0</t>
  </si>
  <si>
    <t>uint8_t[3]</t>
  </si>
  <si>
    <t>nfapi_nr_dci_formats</t>
  </si>
  <si>
    <t>Giá trị copy từ DCI request</t>
  </si>
  <si>
    <t>ss_type</t>
  </si>
  <si>
    <t>n_CCE</t>
  </si>
  <si>
    <t>CCE index của first CCE của PDCCH</t>
  </si>
  <si>
    <t>N_CCE</t>
  </si>
  <si>
    <t>Số CCE của PDCCH</t>
  </si>
  <si>
    <t>rx_frame</t>
  </si>
  <si>
    <t>Frame index tại đó decode PDCCH</t>
  </si>
  <si>
    <t>rx_slot</t>
  </si>
  <si>
    <t>Slot index nhận PDCCH</t>
  </si>
  <si>
    <t>payload_size</t>
  </si>
  <si>
    <t>23 bit payload của MIB</t>
  </si>
  <si>
    <t>ssb_index</t>
  </si>
  <si>
    <t>SSB index, giá trị 0..7</t>
  </si>
  <si>
    <t>ssb_center_freq_hz</t>
  </si>
  <si>
    <t>Tần số trung tâm của SSB</t>
  </si>
  <si>
    <t>Physicall CellID của gNB</t>
  </si>
  <si>
    <t>additional_bits</t>
  </si>
  <si>
    <t>Bit 0-3: SFN LSBs
Bit 4: Half frame index
Bit 5: MSB của K_ssb
Bit 6-7 : Reserved</t>
  </si>
  <si>
    <t>Số SSB trong 1 burst</t>
  </si>
  <si>
    <t>Subcarrier spacing của SSB</t>
  </si>
  <si>
    <t>ssb_length</t>
  </si>
  <si>
    <t>SSB.indication</t>
  </si>
  <si>
    <t>PSDU_req_struct {</t>
  </si>
  <si>
    <t>Prach PDU Struct {</t>
  </si>
  <si>
    <t>prach_format</t>
  </si>
  <si>
    <t>prach_slot</t>
  </si>
  <si>
    <r>
      <t xml:space="preserve"> 0 = 0
    1 = 1
    2 = 2
    3 = 3
    4 = A1
    5 = A2
    6 = A3
    7 = B1
    </t>
    </r>
    <r>
      <rPr>
        <b/>
        <sz val="11"/>
        <color theme="1"/>
        <rFont val="Calibri"/>
        <family val="2"/>
        <scheme val="minor"/>
      </rPr>
      <t>8 = B4</t>
    </r>
    <r>
      <rPr>
        <sz val="11"/>
        <color theme="1"/>
        <rFont val="Calibri"/>
        <family val="2"/>
        <scheme val="minor"/>
      </rPr>
      <t xml:space="preserve">
    9 = C0
    10 = C2
    11 = A1/B1
    12 = A2/B2
    13 = A3/B3</t>
    </r>
  </si>
  <si>
    <t>prach_frame_idx</t>
  </si>
  <si>
    <t>prach_start_symbol</t>
  </si>
  <si>
    <t>root_seq_id</t>
  </si>
  <si>
    <t>restricted_set</t>
  </si>
  <si>
    <t>ra_PreambleIndex</t>
  </si>
  <si>
    <t>prach_tx_power</t>
  </si>
  <si>
    <t>prach_start_rb</t>
  </si>
  <si>
    <t>prach_num_rb</t>
  </si>
  <si>
    <t>prach_k_bar</t>
  </si>
  <si>
    <t>prach_deltaF_RA</t>
  </si>
  <si>
    <t>prach_sequence_length</t>
  </si>
  <si>
    <t>zeroCorrelationZoneConfig</t>
  </si>
  <si>
    <t>prach_bwp_start</t>
  </si>
  <si>
    <t>ra_rnti</t>
  </si>
  <si>
    <t>0..15</t>
  </si>
  <si>
    <t>0: L139
1 : L839</t>
  </si>
  <si>
    <t>0 : 15KHz
1 : 30KHz</t>
  </si>
  <si>
    <t>OK</t>
  </si>
  <si>
    <t>bwp_size</t>
  </si>
  <si>
    <t>bwp_start</t>
  </si>
  <si>
    <t>cyclic_prefix</t>
  </si>
  <si>
    <t>qam_mod_order</t>
  </si>
  <si>
    <t>transform_precoding</t>
  </si>
  <si>
    <t>num_dmrs_cdm_grps_no_data</t>
  </si>
  <si>
    <t>L = total_header_len</t>
  </si>
  <si>
    <t>full_header[L + 3]</t>
  </si>
  <si>
    <t>mac header</t>
  </si>
  <si>
    <t>PDU[0..total_pdu_len-1]</t>
  </si>
  <si>
    <t>total_pdu_len
(max = 254)</t>
  </si>
  <si>
    <t>Số Bit của DCI decode được</t>
  </si>
  <si>
    <t>payloadBits_low</t>
  </si>
  <si>
    <t>32 bit LSB của DCI</t>
  </si>
  <si>
    <t>payloadBits_Hight</t>
  </si>
  <si>
    <t>32 bit MSB của DCI</t>
  </si>
  <si>
    <t>uint32</t>
  </si>
  <si>
    <t>- byte 0: K0
- Byte 1: Mapping Type
- Byte 2-3: StartSymbolAndLength</t>
  </si>
  <si>
    <t>PDSCH_TimeDomainResourceAllocation #1</t>
  </si>
  <si>
    <t>BWP_ID</t>
  </si>
  <si>
    <t>uint8</t>
  </si>
  <si>
    <t>Cyclic Prefix</t>
  </si>
  <si>
    <t>Luôn bằng 0</t>
  </si>
  <si>
    <t>uint16</t>
  </si>
  <si>
    <t>DL BWP 1</t>
  </si>
  <si>
    <t>prach_ConfigurationIndex</t>
  </si>
  <si>
    <t>msg1_FDM</t>
  </si>
  <si>
    <t>msg1_FrequencyStart</t>
  </si>
  <si>
    <t>preambleReceivedTargetPower</t>
  </si>
  <si>
    <t>preambleTransMax</t>
  </si>
  <si>
    <t>powerRampingStep</t>
  </si>
  <si>
    <t>ra_ResponseWindow</t>
  </si>
  <si>
    <t>Rach ConfigGeneric {</t>
  </si>
  <si>
    <t>totalNumberOfRA_Preambles</t>
  </si>
  <si>
    <t>RACH_ConfigCommon__ssb_perRACH_OccasionAndCB_PreamblesPerSSB {</t>
  </si>
  <si>
    <t>rach ConfigCommon {</t>
  </si>
  <si>
    <t>present</t>
  </si>
  <si>
    <t>choice</t>
  </si>
  <si>
    <t>res</t>
  </si>
  <si>
    <t>uint8 [2]</t>
  </si>
  <si>
    <t>RACH_ConfigCommon__groupBconfigured {</t>
  </si>
  <si>
    <t>ra_Msg3SizeGroupA</t>
  </si>
  <si>
    <t>messagePowerOffsetGroupB</t>
  </si>
  <si>
    <t>numberOfRA_PreamblesGroupA</t>
  </si>
  <si>
    <t>ra_ContentionResolutionTimer</t>
  </si>
  <si>
    <t>RACH_ConfigCommon__prach_RootSequenceIndex {</t>
  </si>
  <si>
    <t>msg1_SubcarrierSpacing</t>
  </si>
  <si>
    <t>NULL</t>
  </si>
  <si>
    <t>restrictedSetConfig</t>
  </si>
  <si>
    <t>msg3_transformPrecoder</t>
  </si>
  <si>
    <t>} rach ConfigCommon</t>
  </si>
  <si>
    <t>} RACH_ConfigCommon__prach_RootSequenceIndex</t>
  </si>
  <si>
    <t>} RACH_ConfigCommon__groupBconfigured</t>
  </si>
  <si>
    <t>} RACH_ConfigCommon__ssb_perRACH_OccasionAndCB_PreamblesPerSSB</t>
  </si>
  <si>
    <t>} Rach ConfigGeneric</t>
  </si>
  <si>
    <t>k2</t>
  </si>
  <si>
    <t>mappingType</t>
  </si>
  <si>
    <t>startSymbolAndLength</t>
  </si>
  <si>
    <t>PUSCH_TimeDomainResourceAllocation 2</t>
  </si>
  <si>
    <t>PUCCH ResourceSet 1</t>
  </si>
  <si>
    <t>PUCCH ResourceSet 0 {</t>
  </si>
  <si>
    <t>pucch_ResourceSetId</t>
  </si>
  <si>
    <t>Pucch ResourceID0</t>
  </si>
  <si>
    <t>Pucch Resource ID1</t>
  </si>
  <si>
    <t>Pucch ResourceID2</t>
  </si>
  <si>
    <t>Pucch Resource ID3</t>
  </si>
  <si>
    <t>maxPayloadMinus1</t>
  </si>
  <si>
    <t>} PUCCH ResourceSet 0</t>
  </si>
  <si>
    <t>PUCCH ResourceSet 2</t>
  </si>
  <si>
    <t>PUCCH ResourceSet 3</t>
  </si>
  <si>
    <t>PUCCH_Resource0 {</t>
  </si>
  <si>
    <t>pucch_ResourceId</t>
  </si>
  <si>
    <t>startingPRB</t>
  </si>
  <si>
    <t>intraSlotFrequencyHopping</t>
  </si>
  <si>
    <t>secondHopPRB</t>
  </si>
  <si>
    <t>PUCCH_Resource__format {</t>
  </si>
  <si>
    <t>} PUCCH_Resource__format</t>
  </si>
  <si>
    <t>} PUCCH_Resource0</t>
  </si>
  <si>
    <t>schedulingRequestResourceToAddModList {</t>
  </si>
  <si>
    <t>list[0] {</t>
  </si>
  <si>
    <t>schedulingRequestResourceId</t>
  </si>
  <si>
    <t>schedulingRequestID</t>
  </si>
  <si>
    <t>periodicityAndOffset {</t>
  </si>
  <si>
    <t>} periodicityAndOffset</t>
  </si>
  <si>
    <t>PUCCH_ResourceId_t</t>
  </si>
  <si>
    <t>PUCCH ResourceID</t>
  </si>
  <si>
    <t>} schedulingRequestResourceToAddModList</t>
  </si>
  <si>
    <t>PUCCH_Config_t {</t>
  </si>
  <si>
    <t>} PUCCH_Config_t</t>
  </si>
  <si>
    <t>PUCCH_ConfigCommon_t {</t>
  </si>
  <si>
    <t>pucch_ResourceCommon</t>
  </si>
  <si>
    <t xml:space="preserve">uint8_t </t>
  </si>
  <si>
    <t>set bằng 0</t>
  </si>
  <si>
    <t>pucch_GroupHopping</t>
  </si>
  <si>
    <t>0 : Tắt nhảy tần</t>
  </si>
  <si>
    <t>hoppingId</t>
  </si>
  <si>
    <t>0: NULL</t>
  </si>
  <si>
    <t>p0_nominal</t>
  </si>
  <si>
    <t>Dùng để setup các mức, tạm thời bỏ qua</t>
  </si>
  <si>
    <t>} PUCCH_ConfigCommon_t</t>
  </si>
  <si>
    <t>msg3_DeltaPreamble</t>
  </si>
  <si>
    <t>Tạm thời bỏ qua</t>
  </si>
  <si>
    <t>mcs_table</t>
  </si>
  <si>
    <t>dci_format</t>
  </si>
  <si>
    <t>tdd_UL_DL_ConfigurationCommon {</t>
  </si>
  <si>
    <t>TDD_UL_DL_Pattern Pattern1 {</t>
  </si>
  <si>
    <t>dl_UL_TransmissionPeriodicity</t>
  </si>
  <si>
    <t>nrofDownlinkSlots</t>
  </si>
  <si>
    <t>nrofDownlinkSymbols</t>
  </si>
  <si>
    <t>nrofUplinkSlots</t>
  </si>
  <si>
    <t>nrofUplinkSymbols</t>
  </si>
  <si>
    <t>} TDD_UL_DL_Pattern Pattern1</t>
  </si>
  <si>
    <t>NR_BWP_PDCCH_t {</t>
  </si>
  <si>
    <t>ra_SS_id</t>
  </si>
  <si>
    <t>paging_SS_id</t>
  </si>
  <si>
    <t>List Coreset {   (16 phần tử)</t>
  </si>
  <si>
    <t>controlResourceSetId</t>
  </si>
  <si>
    <t>frequencyDomainResources {</t>
  </si>
  <si>
    <t>} frequencyDomainResources</t>
  </si>
  <si>
    <t>cce_REG_MappingType {</t>
  </si>
  <si>
    <t>0 - NonInterleave
1 - Interleave (Không support)</t>
  </si>
  <si>
    <t>} cce_REG_MappingType</t>
  </si>
  <si>
    <t>precoderGranularity</t>
  </si>
  <si>
    <t>list Common Searchspace {</t>
  </si>
  <si>
    <t>SearchSpaceID</t>
  </si>
  <si>
    <t>ControlResourcSetID</t>
  </si>
  <si>
    <t>Offset</t>
  </si>
  <si>
    <t>monitoringSlotPeriodicityAndOffset {</t>
  </si>
  <si>
    <t>} monitoringSlotPeriodicityAndOffset</t>
  </si>
  <si>
    <t>monitoringSymbolsWithinSlot</t>
  </si>
  <si>
    <t>SearchSpace__nrofCandidates {</t>
  </si>
  <si>
    <t>aggregationLevel1</t>
  </si>
  <si>
    <t>aggregationLevel2</t>
  </si>
  <si>
    <t>aggregationLevel4</t>
  </si>
  <si>
    <t>aggregationLevel8</t>
  </si>
  <si>
    <t>aggregationLevel16</t>
  </si>
  <si>
    <t>} SearchSpace__nrofCandidates</t>
  </si>
  <si>
    <t>Searchpace Type</t>
  </si>
  <si>
    <t>0 (Common)</t>
  </si>
  <si>
    <t>} list Common Searchspace</t>
  </si>
  <si>
    <t xml:space="preserve"> list UE Specific Searchspace {</t>
  </si>
  <si>
    <t>Searchspace 2</t>
  </si>
  <si>
    <t>Searchspace 1</t>
  </si>
  <si>
    <t>Searchspace 3</t>
  </si>
  <si>
    <t>Searchspace 4</t>
  </si>
  <si>
    <t>Searchspace 5</t>
  </si>
  <si>
    <t>Searchspace 6</t>
  </si>
  <si>
    <t>Searchspace 7</t>
  </si>
  <si>
    <t>Searchspace 8</t>
  </si>
  <si>
    <t>Searchspace 9</t>
  </si>
  <si>
    <t>Searchspace 10</t>
  </si>
  <si>
    <t>Searchspace 11</t>
  </si>
  <si>
    <t>Searchspace 12</t>
  </si>
  <si>
    <t>Searchspace 13</t>
  </si>
  <si>
    <t>Searchspace 14</t>
  </si>
  <si>
    <t>Searchspace 15</t>
  </si>
  <si>
    <t>} list UE Specific Searchspace</t>
  </si>
  <si>
    <t>} NR_BWP_PDCCH_t</t>
  </si>
  <si>
    <t>} tdd_UL_DL_ConfigurationCommon</t>
  </si>
  <si>
    <t>0 - Format0
1 - Format1
2 - Format2
3 - Format3
4 - Format4
5 - Nothing</t>
  </si>
  <si>
    <t>initialCyclicShift</t>
  </si>
  <si>
    <t>nrofSymbols</t>
  </si>
  <si>
    <t>startingSymbolIndex</t>
  </si>
  <si>
    <t>Pucch Format0 {</t>
  </si>
  <si>
    <t>} Pucch Format0</t>
  </si>
  <si>
    <t>Pucch Format1 {</t>
  </si>
  <si>
    <t>} Pucch Format1</t>
  </si>
  <si>
    <t>} Pucch Format2</t>
  </si>
  <si>
    <t>timeDomainOCC</t>
  </si>
  <si>
    <t>nrofPRBs</t>
  </si>
  <si>
    <t>Pucch Format2 {</t>
  </si>
  <si>
    <t>Pucch Format3 {</t>
  </si>
  <si>
    <t xml:space="preserve">} Pucch Format3 </t>
  </si>
  <si>
    <t>Pucch Format4 {</t>
  </si>
  <si>
    <t>} Pucch Format4</t>
  </si>
  <si>
    <t>occ_Length</t>
  </si>
  <si>
    <t>occ_Index</t>
  </si>
  <si>
    <t>PUSCH_TimeDomainResourceAllocation 3</t>
  </si>
  <si>
    <t>PUSCH_TimeDomainResourceAllocation 4</t>
  </si>
  <si>
    <t>PUSCH_TimeDomainResourceAllocation 5</t>
  </si>
  <si>
    <t>PUSCH_TimeDomainResourceAllocation 6</t>
  </si>
  <si>
    <t>PUSCH_TimeDomainResourceAllocation 7</t>
  </si>
  <si>
    <t>PUSCH_TimeDomainResourceAllocation 8</t>
  </si>
  <si>
    <t>PUSCH_TimeDomainResourceAllocation 9</t>
  </si>
  <si>
    <t>Cần số phần tử đủ nhiều để gNB có thể quyết định UE sẽ truyền PUSCH tại slot nào, symbol nào</t>
  </si>
  <si>
    <t>Tạm thời chỉ cần dùng 3 phần tử đầu tiên</t>
  </si>
  <si>
    <t>Searchspace của các UE đều giống nhau về mặt thời gian, chỉ khác nhau về vị trí CCE</t>
  </si>
  <si>
    <t>UE lựa chọn CCE decode PDCCH dựa vào UE-ID được cấp phát.</t>
  </si>
  <si>
    <t>Chọn giá trị offset sao cho Searchspace rơi vào slot đầu tiên trong chu kỳ TDD 10 slot</t>
  </si>
  <si>
    <t>Chọn giá trị offset sao cho Searchspace rơi vào slot thứ 2 trong chu kỳ TDD 10 slot</t>
  </si>
  <si>
    <t>Chọn giá trị offset sao cho Searchspace rơi vào slot thứ 3 trong chu kỳ TDD 10 slot</t>
  </si>
  <si>
    <t>} list[0]</t>
  </si>
  <si>
    <t>Tạm thời chỉ cần dùng 1 phần tử cùng trỏ tới pucchResourceID #0.
prb để phát PUCCH cho SR = prb_start trong pucchResouceID #0 + UE_ID</t>
  </si>
  <si>
    <t>Đặt bằng 0</t>
  </si>
  <si>
    <t>PUCCH Resourceset List {</t>
  </si>
  <si>
    <t>} PUCCH Resourceset List</t>
  </si>
  <si>
    <t>PUCCH Resource List {</t>
  </si>
  <si>
    <t xml:space="preserve">PUCCH Resource 1-15 </t>
  </si>
  <si>
    <t xml:space="preserve"> } PUCCH Resource List</t>
  </si>
  <si>
    <t>List [1-15]</t>
  </si>
  <si>
    <t>TDD_UL_DL_Pattern Pattern2</t>
  </si>
  <si>
    <t>ControlResourceSet_t  list[0] {</t>
  </si>
  <si>
    <t xml:space="preserve"> ControlResourceSet_t  list[1] -  ControlResourceSet_t  list[15]</t>
  </si>
  <si>
    <t>Dành cho msg2</t>
  </si>
  <si>
    <t>Dành cho msg4</t>
  </si>
  <si>
    <t>Searchspace 3 (Reserved)</t>
  </si>
  <si>
    <t>Searchspace 4 (Reserved)</t>
  </si>
  <si>
    <t>Common Configuration</t>
  </si>
  <si>
    <t>1: DMRS chiếm các RE lẻ *
2: DMRS chiếm toàn bộ</t>
  </si>
  <si>
    <t>Lựa chọn sử dụng bảng 5.1.3.1-X TS 38.214</t>
  </si>
  <si>
    <t>Tạm thời cấu hình NULL cho L1 đơn giản trong xử lý</t>
  </si>
  <si>
    <t>Không cần, dùng chung tham số common SCS</t>
  </si>
  <si>
    <t>Nr_active_SSB</t>
  </si>
  <si>
    <t>Số SSB đang hoạt động (Tham số này là tham số trong SIB1)</t>
  </si>
  <si>
    <t>cấu hình trong trường hợp Interleave mode</t>
  </si>
  <si>
    <t>SearcSpace 0 {</t>
  </si>
  <si>
    <t>} SearcSpace 0</t>
  </si>
  <si>
    <t>SearchSpace 1</t>
  </si>
  <si>
    <t>mac-&gt;search_space_zero</t>
  </si>
  <si>
    <t>mac-&gt;Coreset0</t>
  </si>
  <si>
    <t>Số lượng UE có thể hoạt động đồng thời kết nối vào 1 gNB</t>
  </si>
  <si>
    <t>NR_UE_SCHEDULING_INFO Timer</t>
  </si>
  <si>
    <t>sr_DelayTimer</t>
  </si>
  <si>
    <t>retxBSR_Timer</t>
  </si>
  <si>
    <t>prohibitTimer</t>
  </si>
  <si>
    <t>maxTransmissions</t>
  </si>
  <si>
    <t>Số bit cố định cho mỗi lần UE gửi HARQ ACK</t>
  </si>
  <si>
    <t>harq_dai_max_support</t>
  </si>
  <si>
    <t>rnti</t>
  </si>
  <si>
    <t>transform precoding</t>
  </si>
  <si>
    <t>data scrambling ID</t>
  </si>
  <si>
    <t>number of Layers</t>
  </si>
  <si>
    <t>DMRS symbol Position</t>
  </si>
  <si>
    <t>Dạng bitmap</t>
  </si>
  <si>
    <t>DMRS Config Type</t>
  </si>
  <si>
    <t>DMRS scrambling ID</t>
  </si>
  <si>
    <t>SCID</t>
  </si>
  <si>
    <t>NR_DMRS_CDM_GRPS_NO_DATA</t>
  </si>
  <si>
    <t>dmrs port</t>
  </si>
  <si>
    <t>resource Allocation Type</t>
  </si>
  <si>
    <t>RB Bitmap</t>
  </si>
  <si>
    <t>uint8[36]</t>
  </si>
  <si>
    <t>rb start</t>
  </si>
  <si>
    <t>rb size</t>
  </si>
  <si>
    <t>VRB to PRB Mapping</t>
  </si>
  <si>
    <t>Frequency Hopping</t>
  </si>
  <si>
    <t>TX slot</t>
  </si>
  <si>
    <t xml:space="preserve">TX Frame </t>
  </si>
  <si>
    <t>Start Symbol IDX</t>
  </si>
  <si>
    <t>Transport Block Size</t>
  </si>
  <si>
    <t>RV Index</t>
  </si>
  <si>
    <t>NR_of_Symbol</t>
  </si>
  <si>
    <t>HARQ Number</t>
  </si>
  <si>
    <t>L1 Bỏ qua tham số này</t>
  </si>
  <si>
    <t>New data indicator</t>
  </si>
  <si>
    <t>MCS index</t>
  </si>
  <si>
    <t>MCS table</t>
  </si>
  <si>
    <t>} PSDU_req_struct</t>
  </si>
  <si>
    <t>uint8[3]</t>
  </si>
  <si>
    <t>PUCCH Request {</t>
  </si>
  <si>
    <t>bwp size</t>
  </si>
  <si>
    <t>bwp start</t>
  </si>
  <si>
    <t>format type</t>
  </si>
  <si>
    <t>start symbol Index</t>
  </si>
  <si>
    <t>NR of Symbols</t>
  </si>
  <si>
    <t>PRB start</t>
  </si>
  <si>
    <t>PRB size</t>
  </si>
  <si>
    <t>Hopping ID</t>
  </si>
  <si>
    <t>Frequency Hop Flag</t>
  </si>
  <si>
    <t>Cờ bật , tắt frequency Hopping</t>
  </si>
  <si>
    <t>Grouping Hop Flag</t>
  </si>
  <si>
    <t>sequence hop flag</t>
  </si>
  <si>
    <t>Second Hop PRB</t>
  </si>
  <si>
    <t>time domain OCC index</t>
  </si>
  <si>
    <t>DMRS Scrambling ID</t>
  </si>
  <si>
    <t>DATA Scrambling ID</t>
  </si>
  <si>
    <t>Max Coderate</t>
  </si>
  <si>
    <t>nrOfSlot</t>
  </si>
  <si>
    <t>SetupRelease Format1 {</t>
  </si>
  <si>
    <t>} SetupRelease Format1</t>
  </si>
  <si>
    <t>SetupRelease Format2  (Setup)</t>
  </si>
  <si>
    <t>Vị trí DMRS fix cứng theo chuẩn, là các RE 1,4,7,10 của Mọi PRB</t>
  </si>
  <si>
    <t>Vị trí DMRS là toàn bộ RE của các symbol chẵn (0,2,4,6…)</t>
  </si>
  <si>
    <t>MCS</t>
  </si>
  <si>
    <t>Cyclic Shift</t>
  </si>
  <si>
    <t>Max Code Rate</t>
  </si>
  <si>
    <t>Dùng với Format2</t>
  </si>
  <si>
    <t>pucch Tx Power</t>
  </si>
  <si>
    <t>Tổng số UCI bit</t>
  </si>
  <si>
    <t>tx slot</t>
  </si>
  <si>
    <t>Slot gửi PUCCH</t>
  </si>
  <si>
    <t>tx frame</t>
  </si>
  <si>
    <t>Frame gửi PUCCH</t>
  </si>
  <si>
    <t>Payload</t>
  </si>
  <si>
    <t>UCI bits</t>
  </si>
  <si>
    <t>} PUCCH Request</t>
  </si>
  <si>
    <t>PDSCH_SCHEDULE.req</t>
  </si>
  <si>
    <t>PDSCH_SCHEDULING</t>
  </si>
  <si>
    <t>pdsch_config_params {</t>
  </si>
  <si>
    <t>subcarrier spacing</t>
  </si>
  <si>
    <t>resource Allocation type</t>
  </si>
  <si>
    <t>uint8 [36]</t>
  </si>
  <si>
    <t>number of RBs</t>
  </si>
  <si>
    <t>start RB</t>
  </si>
  <si>
    <t>Number of Symbol</t>
  </si>
  <si>
    <t>DMRS Symbol Position</t>
  </si>
  <si>
    <t>Bit map</t>
  </si>
  <si>
    <t>DMRS config Type</t>
  </si>
  <si>
    <t>VRB to PRB Bundle Size</t>
  </si>
  <si>
    <t>RV</t>
  </si>
  <si>
    <t>Redundancy Version</t>
  </si>
  <si>
    <t>Target CodeRate</t>
  </si>
  <si>
    <t>QAM Modulation Order</t>
  </si>
  <si>
    <t>Scaling Factor</t>
  </si>
  <si>
    <t>N_DMRS_CDM group</t>
  </si>
  <si>
    <t>DMRS port</t>
  </si>
  <si>
    <t>N_SCID</t>
  </si>
  <si>
    <t>Slot nhận PDSCH</t>
  </si>
  <si>
    <t>Frame index</t>
  </si>
  <si>
    <t>Frame nhận PDSCH</t>
  </si>
  <si>
    <t>Aggregation Factor</t>
  </si>
  <si>
    <t>PDSCH Payload ADDR</t>
  </si>
  <si>
    <t>Num Layers</t>
  </si>
  <si>
    <t>} pdsch_config_params</t>
  </si>
  <si>
    <t>Res</t>
  </si>
  <si>
    <t>PDCCH params {</t>
  </si>
  <si>
    <t>} Coreset_info</t>
  </si>
  <si>
    <t>} PDCCH params</t>
  </si>
  <si>
    <t>} Prach PDU Struct</t>
  </si>
  <si>
    <t>DCI Indication PDU {</t>
  </si>
  <si>
    <t>} DCI Indication PDU</t>
  </si>
  <si>
    <t>Bỏ Trống</t>
  </si>
  <si>
    <t>PDSCH Indication PDU {</t>
  </si>
  <si>
    <t>rx_frame_index</t>
  </si>
  <si>
    <t>rx_slot_index</t>
  </si>
  <si>
    <t>Harq Number</t>
  </si>
  <si>
    <t>TB CRC status</t>
  </si>
  <si>
    <t>RNTI value</t>
  </si>
  <si>
    <t>} PDSCH Indication PDU</t>
  </si>
  <si>
    <t>SSB PDU {</t>
  </si>
  <si>
    <t>} SSB PDU</t>
  </si>
  <si>
    <t>Center Frequency</t>
  </si>
  <si>
    <t>Tần số trung tâm (đơn vị Hz)</t>
  </si>
  <si>
    <t>Bandwidth tính bằng Hz</t>
  </si>
  <si>
    <t>Subcarrier spacing</t>
  </si>
  <si>
    <t>Nếu cần</t>
  </si>
  <si>
    <t>RF_config.req
(Cấu hình ADRV)</t>
  </si>
  <si>
    <t>Uplink Timing Alignment Config</t>
  </si>
  <si>
    <t>UL timing alignment</t>
  </si>
  <si>
    <t>CellSearch Run_Stop</t>
  </si>
  <si>
    <t>0 - Stop
1 - Run</t>
  </si>
  <si>
    <t>Vị trí L1 ghi PDSCH payload sau khi decode (Dùng trong chế độ CHIP Mode)</t>
  </si>
  <si>
    <t>9-17</t>
  </si>
  <si>
    <t>TTI Time Indication</t>
  </si>
  <si>
    <t>Padding</t>
  </si>
  <si>
    <t>2-3</t>
  </si>
  <si>
    <t>9-10</t>
  </si>
  <si>
    <t>Initial Cyclic Shift</t>
  </si>
  <si>
    <t>0 - Interleaved
1 - Non Interleaved</t>
  </si>
  <si>
    <t>UE_ID_MAX</t>
  </si>
  <si>
    <t>SetupRelease Format3 (Setup)</t>
  </si>
  <si>
    <t>SetupRelease Format4 (Setup)</t>
  </si>
  <si>
    <t>pattern2 present</t>
  </si>
  <si>
    <t>0 - Không dùng pattenr2
1 - Dùng pattern 2</t>
  </si>
  <si>
    <t>} ControlResourceSet_t  list[0]</t>
  </si>
  <si>
    <t>start RBG</t>
  </si>
  <si>
    <t>Num RBG</t>
  </si>
  <si>
    <t>padding</t>
  </si>
  <si>
    <t>PeridicAndOffset</t>
  </si>
  <si>
    <t>set bằng 4, dai index sẽ chạy từ 0-3
CHÚ Ý: GIÁ TRỊ NÀY KHÔNG ĐƯỢC LỚN HƠN SỐ HARQ NUMBER SUPPORT. MỖI LẦN GỬI ACK, UE PHẢI GỬI SỐ BIT ĐÚNG BẰNG GIÁ TRỊ NÀY.</t>
  </si>
  <si>
    <t>DL BWP 0</t>
  </si>
  <si>
    <t>uint8[2]</t>
  </si>
  <si>
    <t>4-9</t>
  </si>
  <si>
    <t>PDSCH_TimeDomainResourceAllocation #0</t>
  </si>
  <si>
    <t>PDSCH_TimeDomainResourceAllocation#2-#7</t>
  </si>
  <si>
    <t>10-19</t>
  </si>
  <si>
    <t>RACH_ConfigCommon__prach_RootSequenceIndex_u</t>
  </si>
  <si>
    <t>0 = NULL</t>
  </si>
  <si>
    <t>PUSCH_TimeDomainResourceAllocation 0 {</t>
  </si>
  <si>
    <t>} PUSCH_TimeDomainResourceAllocation 0</t>
  </si>
  <si>
    <t>PUSCH_TimeDomainResourceAllocation 1</t>
  </si>
  <si>
    <t>PUSCH_TimeDomainResourceAllocation 10-15</t>
  </si>
  <si>
    <t>20-25</t>
  </si>
  <si>
    <t>28-29</t>
  </si>
  <si>
    <t>30-31</t>
  </si>
  <si>
    <t>32-33</t>
  </si>
  <si>
    <t>36-80</t>
  </si>
  <si>
    <t>simultaneousHARQ_ACK_CSI</t>
  </si>
  <si>
    <t>83-84</t>
  </si>
  <si>
    <t>85-86</t>
  </si>
  <si>
    <t>87-88</t>
  </si>
  <si>
    <t>134-136</t>
  </si>
  <si>
    <t>} UL BWP 0</t>
  </si>
  <si>
    <t>UL BWP 1</t>
  </si>
  <si>
    <t>UL BWP 0 {</t>
  </si>
  <si>
    <t>139-277</t>
  </si>
  <si>
    <t>3-4</t>
  </si>
  <si>
    <t>otherSI_SS_Id</t>
  </si>
  <si>
    <t>reg_BundleSize</t>
  </si>
  <si>
    <t>interleaverSize</t>
  </si>
  <si>
    <t>shiftIndex</t>
  </si>
  <si>
    <t>5-64</t>
  </si>
  <si>
    <t>present (periodic)</t>
  </si>
  <si>
    <t>70-74</t>
  </si>
  <si>
    <t>75-79</t>
  </si>
  <si>
    <t>80-84</t>
  </si>
  <si>
    <t>85-89</t>
  </si>
  <si>
    <t>90-94</t>
  </si>
  <si>
    <t>95-99</t>
  </si>
  <si>
    <t>100-104</t>
  </si>
  <si>
    <t>105-109</t>
  </si>
  <si>
    <t>110-114</t>
  </si>
  <si>
    <t>115-119</t>
  </si>
  <si>
    <t>120-124</t>
  </si>
  <si>
    <t>125-129</t>
  </si>
  <si>
    <t>130-134</t>
  </si>
  <si>
    <t>135-139</t>
  </si>
  <si>
    <t>140-144</t>
  </si>
  <si>
    <t>145-149</t>
  </si>
  <si>
    <t>150-154</t>
  </si>
  <si>
    <t>155-159</t>
  </si>
  <si>
    <t>150-164</t>
  </si>
  <si>
    <t>Searchspace 0</t>
  </si>
  <si>
    <t>Kiểu dữ liệu</t>
  </si>
  <si>
    <t>Địa chỉ offset</t>
  </si>
  <si>
    <t>Địa chỉ Base</t>
  </si>
  <si>
    <t>SSB RUN-STOP</t>
  </si>
  <si>
    <t>Dạng bitmap, mỗi bit đại diện cho 1 SSB-index
Giá trị:
0 : Stop
1 : Run</t>
  </si>
  <si>
    <t>Periodic</t>
  </si>
  <si>
    <t>Chu kỳ phát SSB gồm: 5 ms, 10 ms, 20 ms, 40 ms, 80 ms, hoặc 160 ms.
Giá trị:
0 - 5 ms
1 - 10 ms
2 - 20ms
3 - 40 ms
4 - 80 ms
5 - 160 ms</t>
  </si>
  <si>
    <t>ssb-SubcarrierOffset</t>
  </si>
  <si>
    <t>K_ssb (mục 7.4.3.1 Tài liệu TS 38.211)
Giá trị: 0-&gt;31</t>
  </si>
  <si>
    <t>ssb-OffsetToPointA</t>
  </si>
  <si>
    <r>
      <t xml:space="preserve">Offset tính từ Subcarrier thấp nhất của RB0 của SSB tới PointA(Tần số thấp nhất của băng thông. Đơn vị là RB
Giá trị 0 -&gt;2199
</t>
    </r>
    <r>
      <rPr>
        <b/>
        <sz val="11"/>
        <color theme="1"/>
        <rFont val="Calibri"/>
        <family val="2"/>
        <scheme val="minor"/>
      </rPr>
      <t>Note: Xem xét xóa bỏ giá trị này, cấu hình phát SSB tại trung tâm của băng thông</t>
    </r>
  </si>
  <si>
    <t>Physical CellID</t>
  </si>
  <si>
    <t>Giá trị: 0 -&gt; 1007</t>
  </si>
  <si>
    <t>SSB Config</t>
  </si>
  <si>
    <t>SSB PDU x</t>
  </si>
  <si>
    <t>dmrs TypeA Position</t>
  </si>
  <si>
    <t>Giá trị : 0-&gt;1</t>
  </si>
  <si>
    <t>pdcch-ConfigSib1</t>
  </si>
  <si>
    <t>Giá trị tồn tại nhưng không cần dùng</t>
  </si>
  <si>
    <t>CellBarred</t>
  </si>
  <si>
    <t>Giá trị: 0</t>
  </si>
  <si>
    <t>IntraFreqReselection</t>
  </si>
  <si>
    <t>half-frame index</t>
  </si>
  <si>
    <t>Giá trị quyết định gửi SSB Burst ở nửa đầu hay nửa sau của frame
Giá trị:
0 - Phát tại nửa đầu frame (5 ms đầu)
1 - Phát tại nửa sau frame (5 ms sau)</t>
  </si>
  <si>
    <t>Precoding and Beamforming</t>
  </si>
  <si>
    <t>Structue</t>
  </si>
  <si>
    <t>SSB_PDU_config.req
(Tạm thời chỉ support phát 1 SSB duy nhất trong SSB Burst)</t>
  </si>
  <si>
    <t>PDCCH.req</t>
  </si>
  <si>
    <t>coreset bwp size</t>
  </si>
  <si>
    <t>Coreset bwp start</t>
  </si>
  <si>
    <t>RB index tính từ RB0 (giới hạn dưới của Băng thông)</t>
  </si>
  <si>
    <t>Giá trị:
0 - 15KHz
1 - 30 KHz</t>
  </si>
  <si>
    <t>Giá trị:
0 - Normal (Chỉ support mode này)
1 - Extend</t>
  </si>
  <si>
    <t>Start Symbol idx</t>
  </si>
  <si>
    <t>Symbol index trong Slot, giá trị : 0-&gt;13</t>
  </si>
  <si>
    <t>Duration Symbol</t>
  </si>
  <si>
    <t>Số symbol dùng để truyền DCI</t>
  </si>
  <si>
    <t>FreqDomainResource</t>
  </si>
  <si>
    <t>uint8[6]</t>
  </si>
  <si>
    <t>Sử dụng 45 LSB bit, mỗi bit đại diện cho 1 RBG (6RB liên tiếp)</t>
  </si>
  <si>
    <t>cce-REG-MappingType</t>
  </si>
  <si>
    <r>
      <t xml:space="preserve">Giá trị:
0 - Non-Interleave
1 - Interleave
</t>
    </r>
    <r>
      <rPr>
        <b/>
        <sz val="11"/>
        <color theme="1"/>
        <rFont val="Calibri"/>
        <family val="2"/>
        <scheme val="minor"/>
      </rPr>
      <t>(CHÚ Ý: XEM LẠI XEM CÓ BỊ NGƯỢC VỚI UE?)</t>
    </r>
  </si>
  <si>
    <t>reg-Bundle Size</t>
  </si>
  <si>
    <t>Interleave size</t>
  </si>
  <si>
    <t>Sử dụng với mode Interleave. Nếu là Non-Interleave, giá trị này bằng 6</t>
  </si>
  <si>
    <t>Shift Index</t>
  </si>
  <si>
    <t>Sử dụng với Interleave Mode</t>
  </si>
  <si>
    <t>Sử dụng với Mode Interleave</t>
  </si>
  <si>
    <t>Granularity for Precoding
Giá trị:
0 - SameAsRegBundle
1 - AllContinuousRBs (chọn mode này)</t>
  </si>
  <si>
    <t>Num DCI</t>
  </si>
  <si>
    <t>Số lượng DCI được phát trong coreset này
Giá trị: 0-&gt;16</t>
  </si>
  <si>
    <t>For Num - DCI {</t>
  </si>
  <si>
    <t>Giá trị RNTI</t>
  </si>
  <si>
    <t>dmrs ScramblingID</t>
  </si>
  <si>
    <t>Giá trị N_PDCCH_ID trong công thức tính C_init</t>
  </si>
  <si>
    <t>Scrambling RNTI</t>
  </si>
  <si>
    <t>Mã dùng để xáo trộn phần 24 bit CRC của PDCCH</t>
  </si>
  <si>
    <t>cce-Index</t>
  </si>
  <si>
    <t>CCE start Index dùng để gửi PDCCH</t>
  </si>
  <si>
    <t>aggregationLevel</t>
  </si>
  <si>
    <t>Số CCE dùng để gửi PDCCH</t>
  </si>
  <si>
    <t>Precoding and BeamForming</t>
  </si>
  <si>
    <t>Structure</t>
  </si>
  <si>
    <t>dci payload size</t>
  </si>
  <si>
    <t>DCI Payload</t>
  </si>
  <si>
    <t>uint8[8]</t>
  </si>
  <si>
    <t>Số bit DCI, giá trị 1-&gt;64</t>
  </si>
  <si>
    <t>DCI Payload cần gửi đi</t>
  </si>
  <si>
    <t xml:space="preserve">} </t>
  </si>
  <si>
    <t>Slot phát PDCCH</t>
  </si>
  <si>
    <t>TX Frame</t>
  </si>
  <si>
    <t>Frame phát PDCCH</t>
  </si>
  <si>
    <t>PDSCH PDU</t>
  </si>
  <si>
    <t>subcarrier Spacing</t>
  </si>
  <si>
    <t>Giá trị: 0 -&gt; 1</t>
  </si>
  <si>
    <t>cyclic prefix</t>
  </si>
  <si>
    <t>0 - Normal
1 - Extend</t>
  </si>
  <si>
    <t>Target Coderate</t>
  </si>
  <si>
    <t>11-19</t>
  </si>
  <si>
    <t>mcs-index</t>
  </si>
  <si>
    <t>giá trị : 0 -&gt; 31</t>
  </si>
  <si>
    <t>mcs-table</t>
  </si>
  <si>
    <r>
      <t xml:space="preserve">Giá trị:
0 - notQam256
1 : qam256
2: qam64LowSE
</t>
    </r>
    <r>
      <rPr>
        <b/>
        <sz val="11"/>
        <color theme="1"/>
        <rFont val="Calibri"/>
        <family val="2"/>
        <scheme val="minor"/>
      </rPr>
      <t>CHÚ Ý: XEM LẠI GIÁ TRỊ NÀY CÓ BỊ LỆCH SO VỚI UE</t>
    </r>
  </si>
  <si>
    <t>rv-index</t>
  </si>
  <si>
    <t>TBS</t>
  </si>
  <si>
    <t>nID-PDSCH (DataScramblingID)</t>
  </si>
  <si>
    <t>giá trị: 0-&gt;1023</t>
  </si>
  <si>
    <t>numLayer</t>
  </si>
  <si>
    <t>giá trị 1-&gt;8</t>
  </si>
  <si>
    <t>dmrs Ref Point</t>
  </si>
  <si>
    <t>0 - Ref point là điểm thấp nhất của băng thông (Thiết kế nên chọn điểm này là cố định, sinh một chuỗi DMRS cố định, tại symbol nào thì cắt một phần của chuỗi đó ra để gửi đi)</t>
  </si>
  <si>
    <t>dmrs Symbol Pos</t>
  </si>
  <si>
    <t>sử dụng 14 LSB bit làm bitmap tương ứng 14 symbol
Giá trị:
0 - No DMRS
1 - DMRS symbol</t>
  </si>
  <si>
    <t>dmrs config type</t>
  </si>
  <si>
    <t>Giá trị:
0  : Type1
1 : Type2</t>
  </si>
  <si>
    <t>DMRS scramblingID</t>
  </si>
  <si>
    <t>nSCID</t>
  </si>
  <si>
    <t>giá trị 0 -&gt; 1</t>
  </si>
  <si>
    <t>num-DMRS-CDM-Grps
NoData</t>
  </si>
  <si>
    <t>Giá trị 1-&gt;3</t>
  </si>
  <si>
    <t>resourceAlloc type</t>
  </si>
  <si>
    <t>0 : Type0
1 : type1</t>
  </si>
  <si>
    <t>rb-bitmap</t>
  </si>
  <si>
    <t>Tạm thời không dùng chế độ này</t>
  </si>
  <si>
    <t>rb-start</t>
  </si>
  <si>
    <t>rb-size</t>
  </si>
  <si>
    <t>vrb to prb mapping</t>
  </si>
  <si>
    <t>Giá trị:
0 - Non interleave (Tạm thời chỉ quan tâm mode này)
1 - Interleave with RB size=2
2 - Interleave with RB size=4</t>
  </si>
  <si>
    <t>start symbol index</t>
  </si>
  <si>
    <t>giá trị 0-&gt;13</t>
  </si>
  <si>
    <t>numSymbols</t>
  </si>
  <si>
    <t>gí trị 1-&gt;14</t>
  </si>
  <si>
    <t>Để sau</t>
  </si>
  <si>
    <t>Tx slot</t>
  </si>
  <si>
    <t>TX frame</t>
  </si>
  <si>
    <t>Slot gửi PDSCH</t>
  </si>
  <si>
    <t>Frame gửi PDSCH</t>
  </si>
  <si>
    <t>Bên UE  đang không có tham số này</t>
  </si>
  <si>
    <t>slot gửi prach</t>
  </si>
  <si>
    <t>Frame gửi prach</t>
  </si>
  <si>
    <t>DL SSB Static config.req</t>
  </si>
  <si>
    <t>DL SSB Run-Stop.req (Register)</t>
  </si>
  <si>
    <t>DL PDCCH_config.req</t>
  </si>
  <si>
    <t>DL PDSCH PDU</t>
  </si>
  <si>
    <t>Số lượng time-domain prach occasion trong prach slot</t>
  </si>
  <si>
    <t>prach-format</t>
  </si>
  <si>
    <t>Giá trị tương ứng prach fomat phía UE. Từ giá trị này tìm được số symbol tương ứng của prach</t>
  </si>
  <si>
    <t>index-FD-RA</t>
  </si>
  <si>
    <t>Carrier Config.req</t>
  </si>
  <si>
    <t>Giá trị 0 -&gt; 1007</t>
  </si>
  <si>
    <t>prach Sequence Length</t>
  </si>
  <si>
    <t>Giá trị:
0 - Long Sequence (L839)
1 - short sequence (L139)</t>
  </si>
  <si>
    <t>Prach RootSequenceIndex</t>
  </si>
  <si>
    <t>Common Subcarrier spacing</t>
  </si>
  <si>
    <t>Tất cả PDSCH, SSB, PUSCH, PRACH dùng chung common scs
Giá trị:
0 - 15KHz
1 - 30KHz</t>
  </si>
  <si>
    <t>RestrictedSet Config</t>
  </si>
  <si>
    <t>Giá trị:
0 - unrestricted
1 - Restricted set typeA
2 - Restricted set typeB</t>
  </si>
  <si>
    <t>TDD pattern1</t>
  </si>
  <si>
    <t>TDD pattern2</t>
  </si>
  <si>
    <t>RUN_STOP (SSB mask)</t>
  </si>
  <si>
    <t>Prach Msg1-Frequency Start</t>
  </si>
  <si>
    <t>Đơn vị là RB, tính từ PointA (điểm cận dưới của Bandwidth)</t>
  </si>
  <si>
    <t>prach start symbol Index</t>
  </si>
  <si>
    <t>time-domain num_prach_occastion</t>
  </si>
  <si>
    <t>Số prach occasion xếp chồng lên nhau trong theo trục tần số</t>
  </si>
  <si>
    <t>Tạm thời bỏ qua tham số này</t>
  </si>
  <si>
    <t>PRACH config {</t>
  </si>
  <si>
    <t>} PRACH config</t>
  </si>
  <si>
    <t>Frame index nhận được prach msg1</t>
  </si>
  <si>
    <t>Slot index nhận được msg1</t>
  </si>
  <si>
    <t>num-PDU</t>
  </si>
  <si>
    <t>Số lượng PRACH msg1 nhận được tại slot này (chỉ tính theo miền thời gian và tần số)</t>
  </si>
  <si>
    <t>với point - to -point thì giá trị này bằng 1</t>
  </si>
  <si>
    <t>for num-PDU {</t>
  </si>
  <si>
    <t>symbol index</t>
  </si>
  <si>
    <t>ra-index</t>
  </si>
  <si>
    <t>Giá trị 0 -&gt;13, MAC dùng để tính RNTI</t>
  </si>
  <si>
    <t>Tần số index, giá trị 0-&gt;7 (Mac dùng để tính RNTI)</t>
  </si>
  <si>
    <t>num-Premable</t>
  </si>
  <si>
    <t>Số premable index detect được trong Occasion này</t>
  </si>
  <si>
    <t>Đối với case point to point, giá trị này bằng 1</t>
  </si>
  <si>
    <t>preamble Index</t>
  </si>
  <si>
    <t>giá trị 0-&gt;63</t>
  </si>
  <si>
    <t>Timing Addvand offset</t>
  </si>
  <si>
    <t>giá trị :
0 -&gt; 3846, đơn vị là 16*64*Tc/(2^u)
0xffff: Invalid value</t>
  </si>
  <si>
    <t>} num-PDU</t>
  </si>
  <si>
    <t>PRACH.indication</t>
  </si>
  <si>
    <t>Frame nhận PUSCH</t>
  </si>
  <si>
    <t>Slot nhận được PUSCH (không cần ?)</t>
  </si>
  <si>
    <t>Num-PDU</t>
  </si>
  <si>
    <t>Số PDU nhận được từ các UE</t>
  </si>
  <si>
    <t>For Num-PDU {</t>
  </si>
  <si>
    <t>Handle</t>
  </si>
  <si>
    <t>Handle này gắn với UE-IE, MAC sử dụng giá trị này để biết PDU này của UE nào, HARQ ID tương ứng, Transport Block Size, vị trí lưu RX data tương ứng. Giá trị này lấy từ Request</t>
  </si>
  <si>
    <t>Đối với Point to Point, giá trị này bằng 1 (Tối đa bằng 4)</t>
  </si>
  <si>
    <t>(4 bit MSB: HARQ
4 bit LSB: UE ID)</t>
  </si>
  <si>
    <t>}</t>
  </si>
  <si>
    <t xml:space="preserve">    for num-preamble {</t>
  </si>
  <si>
    <t xml:space="preserve">    } num-preamble</t>
  </si>
  <si>
    <t xml:space="preserve">Đối với mạch FPGA, khi L1 nhận được thông tin lập lịch, Để tránh bị treo DMA channel, L1 bắt buộc phải gửi data lên bất chấp có nhận được data tại slot đó hay không. Nếu không nhận được data hoặc data lỗi, nó chỉ cần gửi 1 byte rác + cờ tlast </t>
  </si>
  <si>
    <t>Sau khi giải mã toàn bộ payload và đẩy vào DDR, L1 mới có thông tin trạng thái CRC. MAC dựa vào thông tin này để biết PDU này có pass CRC hay không
Giá trị: 
0 : Failed
1 : Pass</t>
  </si>
  <si>
    <t>Không cần ?</t>
  </si>
  <si>
    <t>rx slot</t>
  </si>
  <si>
    <t>num_UCI</t>
  </si>
  <si>
    <t>for num-UCI</t>
  </si>
  <si>
    <t>UCI.req</t>
  </si>
  <si>
    <t>Frame nhận UCI</t>
  </si>
  <si>
    <t>Slot nhận UCI</t>
  </si>
  <si>
    <t>UCI type</t>
  </si>
  <si>
    <t>Giá trị:
0 - SR
1 - HARQ 
2 - CSI</t>
  </si>
  <si>
    <t>num-UCI</t>
  </si>
  <si>
    <t>Số UCI có thể nhận</t>
  </si>
  <si>
    <t>handle</t>
  </si>
  <si>
    <t>prb-start</t>
  </si>
  <si>
    <t>prb-size</t>
  </si>
  <si>
    <t>IntraSlotFreqHoping</t>
  </si>
  <si>
    <t>Giá trị:
0 - Disable
1 - Enable</t>
  </si>
  <si>
    <t>SecondHop-PRB</t>
  </si>
  <si>
    <t>Giá trị 0-&gt;274</t>
  </si>
  <si>
    <t>n-ID-PUCCH-Hopping</t>
  </si>
  <si>
    <t>Theo mục 6.3.2.2.1 tài liệu TS 38.211
Giá trị: Fix cứng giá trị này bằng CellID</t>
  </si>
  <si>
    <t>Chỉ dùng cho format 2,3,4</t>
  </si>
  <si>
    <t>timeDomain-OCC-index</t>
  </si>
  <si>
    <t>Chỉ dùng cho format1
Giá trị: 0-&gt;6</t>
  </si>
  <si>
    <t>m0-PUCCH-DMRS-Cycl
icShift (MCS)</t>
  </si>
  <si>
    <t>Chỉ áp dụng với format0 và format1</t>
  </si>
  <si>
    <t>Bitlength-HARQ</t>
  </si>
  <si>
    <t>pucch-DATA ScramblingID</t>
  </si>
  <si>
    <t>Chỉ dùng với format 2,3,4</t>
  </si>
  <si>
    <t>for num-UCI {</t>
  </si>
  <si>
    <t>Giá trị từ UCI.req</t>
  </si>
  <si>
    <t>Timing Advance Offset</t>
  </si>
  <si>
    <t>Giá trị : 0-&gt;63
Đơn vị: 16*64*Tc/(2^u)</t>
  </si>
  <si>
    <t>Sr-indication</t>
  </si>
  <si>
    <t>HARQ-ACK value</t>
  </si>
  <si>
    <t>SR-Bit length</t>
  </si>
  <si>
    <t>Giá trị:
0 - No SR
1 - SR occastion (Có thể có SR)</t>
  </si>
  <si>
    <t>Số bit HARQ cần nhận</t>
  </si>
  <si>
    <t>Dạng bitmap, sử dụng các LSB bit.
Giá trị: 0 - NACK, 1 - ACK
Nếu không nhận được hoặc CRC lỗi, set toàn bộ các bit = NACK</t>
  </si>
  <si>
    <t>Giá trị:
0 : Không có SR với mức Confidence cao
1 : Không có SR với mức Confidence Thấp
2 : Có SR với mức Confidence cao
3 : Có SR với mức Confidence thấp
Nếu không nhận được gì =&gt; set bit bằng 0</t>
  </si>
  <si>
    <t>số UCI nhận được (Phải bằng số UCI lập lịch trong UCI.req)</t>
  </si>
  <si>
    <t>UCI.indication (Tạm thời mới support HARQ và SR)</t>
  </si>
  <si>
    <t>RX_DATA.indication (Tạm thời không support UCI on PUSCH)</t>
  </si>
  <si>
    <t>PRACH_msg1.req</t>
  </si>
  <si>
    <t>Frame nhận prach msg1</t>
  </si>
  <si>
    <t>Slot nhận prach msg1</t>
  </si>
  <si>
    <t>Prach_msg1 monitor</t>
  </si>
  <si>
    <t>Giá trị: Chỉ có thể bằng 1
1 - lắng nghe prach msg1 với tham số cấu hình sẵn</t>
  </si>
  <si>
    <t>Timing Advange Offset</t>
  </si>
  <si>
    <t>Xem lại tham số này, đối với PDSCH đang cấu hình theo số lượng symbol</t>
  </si>
  <si>
    <t>L1 dùng giá trị này tính N_cs</t>
  </si>
  <si>
    <t>Kết hợp giá trị N_cs tạo ra khoảng dịch vòng cho chuỗi gốc (root sequence)</t>
  </si>
  <si>
    <t>List này tạm thời chỉ cần dùng 3 phần tử.
- Phần tử 0, Format 0, ID 0, dùng cho MSG4 HARQ ACK
- Phần tử 1, format 1, ID 1, dùng cho SR
- Phần tử 2, format 2, ID 2, dùng cho HARQ ACK</t>
  </si>
  <si>
    <t>DDR</t>
  </si>
  <si>
    <t>PL Register, Payload nằm trong DDR</t>
  </si>
  <si>
    <t>NDI flag</t>
  </si>
  <si>
    <t>Nếu có cập nhật mới, đảo ngược giá trị này.
Giá trị: 0-&gt;1</t>
  </si>
  <si>
    <t>SSB detect status</t>
  </si>
  <si>
    <t>Giá trị 0-&gt;1
0: Not found
1: Found Success</t>
  </si>
  <si>
    <t>CRC status</t>
  </si>
  <si>
    <t>Value: 0-&gt;1
0: Failed
1 : Pass</t>
  </si>
  <si>
    <t>L2SRAM</t>
  </si>
  <si>
    <r>
      <rPr>
        <b/>
        <sz val="11"/>
        <color theme="1"/>
        <rFont val="Calibri"/>
        <family val="2"/>
        <scheme val="minor"/>
      </rPr>
      <t>PUSCH_SCHEDULE.req</t>
    </r>
    <r>
      <rPr>
        <sz val="11"/>
        <color theme="1"/>
        <rFont val="Calibri"/>
        <family val="2"/>
        <scheme val="minor"/>
      </rPr>
      <t xml:space="preserve">
- Thông tin lập lịch gửi PUSCH</t>
    </r>
  </si>
  <si>
    <t>Slot gửi Pusch</t>
  </si>
  <si>
    <t>Frame gửi PUSCH</t>
  </si>
  <si>
    <t>PUSCH</t>
  </si>
  <si>
    <t>- Mỗi HARQ number gắn với một vùng nhớ cấu hình Descriptor Mô tả PUSCH payload. Chi tiết cấu hình trong file DrawIO</t>
  </si>
  <si>
    <t>PDCCH.req
- Bản tin lập lịch yêu cầu L1 Monitor kênh PDCCH</t>
  </si>
  <si>
    <t>nr_uci_bit</t>
  </si>
  <si>
    <t>Trường thông tin</t>
  </si>
  <si>
    <t>Loại dữ liệu</t>
  </si>
  <si>
    <t>Frame được lập lịch</t>
  </si>
  <si>
    <t>slot</t>
  </si>
  <si>
    <t>Slot lập lịch</t>
  </si>
  <si>
    <t>Num-PDUs</t>
  </si>
  <si>
    <t>số DL PDU được lập lịch trong slot</t>
  </si>
  <si>
    <t>pdu_type</t>
  </si>
  <si>
    <t>Giá trị:
0: PDCCH PDU
1: PDSCH PDU
2: CSI-RS PDU
3: SSB PDU</t>
  </si>
  <si>
    <t>pdu_size</t>
  </si>
  <si>
    <t>Kích thước PDU</t>
  </si>
  <si>
    <t>PDU Content</t>
  </si>
  <si>
    <t>coreset bwp start</t>
  </si>
  <si>
    <t>các trường thông tin static : scs, cyclic prefix</t>
  </si>
  <si>
    <t>start_sym_index</t>
  </si>
  <si>
    <t>start OFDM symbol index của Coreset</t>
  </si>
  <si>
    <t>Số symbol của Coreset</t>
  </si>
  <si>
    <t>Kích thước của BWP</t>
  </si>
  <si>
    <t>Start RB của BWP</t>
  </si>
  <si>
    <t>FrequencyDomainResource</t>
  </si>
  <si>
    <t>uint8_t[6]</t>
  </si>
  <si>
    <t>48 bitmap Indicates vị trí RB trên BWP mà coreset này chiếm</t>
  </si>
  <si>
    <t>cce-REG-Mapping Type</t>
  </si>
  <si>
    <t>Giá trị:
0 - Non Interleave
1 - Interleave</t>
  </si>
  <si>
    <t>Reg Bundle Size</t>
  </si>
  <si>
    <t>Số REGs trong 1 bundle. Giá trị 2,3,6</t>
  </si>
  <si>
    <t>Interleave Size</t>
  </si>
  <si>
    <t>Chỉ có ý nghĩa với Mode Interleave</t>
  </si>
  <si>
    <t>Coreset Type</t>
  </si>
  <si>
    <t>Chỉ có ý nghĩa với Interleave Mode</t>
  </si>
  <si>
    <t>PrecodeGranularity</t>
  </si>
  <si>
    <t>Giá trị: 0/1</t>
  </si>
  <si>
    <t>Num-DCI</t>
  </si>
  <si>
    <t>Số DCI trong Coreset được phát</t>
  </si>
  <si>
    <t>PDCCH PDU</t>
  </si>
  <si>
    <t>For Num_DCI {</t>
  </si>
  <si>
    <t>Giá trị RNTI dùng để Masking (XOR) giá trị CRC</t>
  </si>
  <si>
    <t>n-ID-PDCCH-Data</t>
  </si>
  <si>
    <t>giá trị n-ID dùng để tính C-init (cho scrambling DCI data)</t>
  </si>
  <si>
    <t>n-RNTI-PDCCH-Data</t>
  </si>
  <si>
    <t>giá trị n-RNTI dùng để tính C-init</t>
  </si>
  <si>
    <t>Ghi chú</t>
  </si>
  <si>
    <t>dùng giá trị PCI (Physical CellID)</t>
  </si>
  <si>
    <t>CCE start Index dùng để gửi DCI</t>
  </si>
  <si>
    <t>Aggreagtion Level (L)</t>
  </si>
  <si>
    <t>giá trị L dùng để gửi DCI</t>
  </si>
  <si>
    <t>payload size</t>
  </si>
  <si>
    <t>Kích thước DCI Payload (đơn vị là Bit)</t>
  </si>
  <si>
    <t>payload</t>
  </si>
  <si>
    <t>Payload Content của DCI</t>
  </si>
  <si>
    <t>I</t>
  </si>
  <si>
    <t>I.1</t>
  </si>
  <si>
    <t>I.2</t>
  </si>
  <si>
    <t>Target codeRate</t>
  </si>
  <si>
    <t>QAM ModOrder</t>
  </si>
  <si>
    <t>RV index</t>
  </si>
  <si>
    <t>TB size</t>
  </si>
  <si>
    <t>n-ID PDSCH</t>
  </si>
  <si>
    <t>Giá trị sử dụng tính C-init (dùng cho Scrambling Data)</t>
  </si>
  <si>
    <t>Sử dụng PCI</t>
  </si>
  <si>
    <t>NumLayer</t>
  </si>
  <si>
    <t>TransmissionScheme</t>
  </si>
  <si>
    <t>refPoint</t>
  </si>
  <si>
    <t>DMRS symbols</t>
  </si>
  <si>
    <t>Dạng bitmap 14 bit (LSB), giá trị mỗi bit tương ứng với hiện diện của DMRS symbol trong slot
0: no DMRS
1: DMRS</t>
  </si>
  <si>
    <t>num-DMRS-CDM-Grps NoDATA</t>
  </si>
  <si>
    <t>Nếu DMRS là type1, 12 Subcarrier chia thành 2 nhóm, nhóm 0 gồm các RE chẵn, nhóm 1 gồm các RE lẻ.
Giá trị 1:Nhóm 0 dùng cho DMRS, nhóm 1 được dùng cho PDSCH Data
Giá trị 2: KHÔNG RE nào được dùng cho PDSCH Data</t>
  </si>
  <si>
    <t>dmrs-port</t>
  </si>
  <si>
    <r>
      <t xml:space="preserve">Dạng bitmap 12 bit(LSB) mỗi bit đại diện cho việc đóng/mở DMRS port (đối với PDSCH hiện tại chỉ support port 1000). Giá trị
0: DMRS port unused
1: DMRS port used
</t>
    </r>
    <r>
      <rPr>
        <b/>
        <sz val="11"/>
        <color theme="1"/>
        <rFont val="Calibri"/>
        <family val="2"/>
        <scheme val="minor"/>
      </rPr>
      <t>Bit 0: DMRS port 1000</t>
    </r>
    <r>
      <rPr>
        <sz val="11"/>
        <color theme="1"/>
        <rFont val="Calibri"/>
        <family val="2"/>
        <scheme val="minor"/>
      </rPr>
      <t xml:space="preserve">
bit 1: DMRS port 1001 …</t>
    </r>
  </si>
  <si>
    <t>resourceAlloc</t>
  </si>
  <si>
    <t>Giá trị:
0: Type 0, các RB được cấp phát theo dạng bitmap có thể không liên tục
1: Type 1, các RB được cấp phát là một chuỗi RB liên tục</t>
  </si>
  <si>
    <t>rb-Bitmap</t>
  </si>
  <si>
    <t>Chỉ áp dụng với Type0. Mỗi bit đại diện cho việc có sử dụng VRB tương ứng trong BWP sử dụng cho PDSCH</t>
  </si>
  <si>
    <t>Sử dụng với Type 1, Start RB được sử dụng cho PDSCH</t>
  </si>
  <si>
    <t>Sử dụng với Type 1, Tổng số RB liên tiếp được sử dụng cho PDSCH</t>
  </si>
  <si>
    <t>vrb-to-prb mapping</t>
  </si>
  <si>
    <t>Giá trị:
0 - Non-interleaved
1 - Interleave với RB size bằng 2
2 - Interleave với RB size bằng 4</t>
  </si>
  <si>
    <t>Start Symbol Index</t>
  </si>
  <si>
    <t>Start symbol cho PDSCH</t>
  </si>
  <si>
    <t>numSymbol</t>
  </si>
  <si>
    <t>Số symbol sử dụng</t>
  </si>
  <si>
    <t>Giá trị: 1 (Điểm tham chiếu cho DMRS là RB0 của BWP)</t>
  </si>
  <si>
    <r>
      <t xml:space="preserve">Giá trị:
</t>
    </r>
    <r>
      <rPr>
        <b/>
        <sz val="11"/>
        <color theme="1"/>
        <rFont val="Calibri"/>
        <family val="2"/>
        <scheme val="minor"/>
      </rPr>
      <t>0 - Type1 (mật độ cao, 6 RE/RB)</t>
    </r>
    <r>
      <rPr>
        <sz val="11"/>
        <color theme="1"/>
        <rFont val="Calibri"/>
        <family val="2"/>
        <scheme val="minor"/>
      </rPr>
      <t xml:space="preserve">
1 - Type2 (mật độ thấp, 4 RE/RB)</t>
    </r>
  </si>
  <si>
    <t>UE-ID</t>
  </si>
  <si>
    <t>ID của Target UE nhận PDSCH</t>
  </si>
  <si>
    <t>HARQ Num</t>
  </si>
  <si>
    <t>num-MAC subPDU</t>
  </si>
  <si>
    <t>Tổng số MAC subPDU trong Transport Block</t>
  </si>
  <si>
    <t>Mỗi UE được cấp phát 1 vùng nhớ cố định trên L2SRAM/OCM cho cấu hình PDSCH payload Descriptor, L1 dựa vào thông tin UE-ID và HARQ Number để trỏ tới vùng nhớ này đọc Descriptor</t>
  </si>
  <si>
    <t>I.3</t>
  </si>
  <si>
    <t>SSB PDU</t>
  </si>
  <si>
    <t xml:space="preserve">PCI </t>
  </si>
  <si>
    <t>Physical CellID. Giá trị 0 -&gt; 1007</t>
  </si>
  <si>
    <t>ssb Index</t>
  </si>
  <si>
    <t>SSB start symbol</t>
  </si>
  <si>
    <t>SSB index trong SSB Burst. Giá trị được sử dụng cho quá trình Scrambling PBCH.</t>
  </si>
  <si>
    <t>SSB start symbol trong slot</t>
  </si>
  <si>
    <t>SSB subcarrier Offset (Kssb)</t>
  </si>
  <si>
    <t>Giá trị offset của RE thấp nhất của SSB trong RB chứa RE đó. Giá trị: 0-&gt;31 (Thực chất giá trị chỉ cần nằm trong dải 0-&gt;11 vì hệ thống không support Mixed Numenology, tức là dùng chung giá trị SCS)</t>
  </si>
  <si>
    <t>SSB offsetPointA</t>
  </si>
  <si>
    <t>giá trị MIB (23 bit LSB)</t>
  </si>
  <si>
    <t>MIB data payload</t>
  </si>
  <si>
    <t>For num-PDUs {</t>
  </si>
  <si>
    <t>UL_TTI.request (Bản tin lập lịch Uplink cho 1 slot)</t>
  </si>
  <si>
    <t>Số PDUs lập lịch trong slot</t>
  </si>
  <si>
    <t>pdu-Type</t>
  </si>
  <si>
    <t>Giá trị:
0 - PRACH PDU
1 - PUSCH PDU
2 - PUCCH PDU</t>
  </si>
  <si>
    <t>pdu size</t>
  </si>
  <si>
    <t>PDU Configuration</t>
  </si>
  <si>
    <t>Tổng số byte của PDU Configuration Information</t>
  </si>
  <si>
    <t>II</t>
  </si>
  <si>
    <t>Uplink PDU data structure</t>
  </si>
  <si>
    <t>Downlink PDU Data Structure</t>
  </si>
  <si>
    <t>II.1</t>
  </si>
  <si>
    <t xml:space="preserve">PUSCH PDU </t>
  </si>
  <si>
    <t>pdu bitmap</t>
  </si>
  <si>
    <t>Trong 1 slot có thể có nhiều UE gửi PUSCH PDU. L1 sau khi decode PDU, gửi kèm giá trị này lên L2 để phân loại PDU</t>
  </si>
  <si>
    <t>QAM modOrder</t>
  </si>
  <si>
    <t>mcs index</t>
  </si>
  <si>
    <t>mcs table</t>
  </si>
  <si>
    <t>TransformPrecoding</t>
  </si>
  <si>
    <r>
      <t xml:space="preserve">Giá trị:
</t>
    </r>
    <r>
      <rPr>
        <b/>
        <sz val="11"/>
        <color theme="1"/>
        <rFont val="Calibri"/>
        <family val="2"/>
        <scheme val="minor"/>
      </rPr>
      <t>0 - Disable</t>
    </r>
    <r>
      <rPr>
        <sz val="11"/>
        <color theme="1"/>
        <rFont val="Calibri"/>
        <family val="2"/>
        <scheme val="minor"/>
      </rPr>
      <t xml:space="preserve">
1 - Enable</t>
    </r>
  </si>
  <si>
    <t>Data ScramblingID</t>
  </si>
  <si>
    <t>Sử dụng giá trị PCI</t>
  </si>
  <si>
    <t>Kết hợp với RNTI để Descrambling PUSCH data</t>
  </si>
  <si>
    <t>nrOfLayers</t>
  </si>
  <si>
    <t>giá trị: 1-&gt;4</t>
  </si>
  <si>
    <t>Dạng bitmap 14 LSB Bit indicate vị trí symbol chứa DMRS</t>
  </si>
  <si>
    <r>
      <t xml:space="preserve">Giá trị:
</t>
    </r>
    <r>
      <rPr>
        <b/>
        <sz val="11"/>
        <color theme="1"/>
        <rFont val="Calibri"/>
        <family val="2"/>
        <scheme val="minor"/>
      </rPr>
      <t>0 - Type1 (mật độ cao, 6 RE / RB)</t>
    </r>
    <r>
      <rPr>
        <sz val="11"/>
        <color theme="1"/>
        <rFont val="Calibri"/>
        <family val="2"/>
        <scheme val="minor"/>
      </rPr>
      <t xml:space="preserve">
1 - Type2 (4 RE / RB)</t>
    </r>
  </si>
  <si>
    <t>Sử dụng giá trị PCI, sử dụng cho quá trình Descrambling DMRS</t>
  </si>
  <si>
    <t>Pusch DMRS Identity</t>
  </si>
  <si>
    <t>Chỉ có ý nghĩa khi Transform Precoding Enable</t>
  </si>
  <si>
    <t>num DMRS - CDM - Groups NoDATA</t>
  </si>
  <si>
    <t>Giá trị : 1-&gt;3</t>
  </si>
  <si>
    <t>Tương tự PDSCH</t>
  </si>
  <si>
    <t>Tương tự PDSCH. Giá trị:
0 - Type 0
1 - Type 1</t>
  </si>
  <si>
    <t>rb-Start</t>
  </si>
  <si>
    <t>rb-Size</t>
  </si>
  <si>
    <t>vrb to Prb Mapping</t>
  </si>
  <si>
    <t>Start symbol trong slot</t>
  </si>
  <si>
    <t>num-Symbol</t>
  </si>
  <si>
    <t xml:space="preserve">Số symbol </t>
  </si>
  <si>
    <t>II.2</t>
  </si>
  <si>
    <t>HARQ Process ID</t>
  </si>
  <si>
    <t>new data Indicator</t>
  </si>
  <si>
    <t>Redundancy Version Index. Giá trị 0-&gt;3</t>
  </si>
  <si>
    <t>Giá trị 0-&gt;7</t>
  </si>
  <si>
    <t>giá trị 0-&gt;1</t>
  </si>
  <si>
    <t>PUSCH Payload Size</t>
  </si>
  <si>
    <t>DDR Ram Address</t>
  </si>
  <si>
    <t>Địa chỉ DDR chứa PUSCH sau decode</t>
  </si>
  <si>
    <t>Có cần ?</t>
  </si>
  <si>
    <t>PCI</t>
  </si>
  <si>
    <t>Đưa giá trị này vào static config</t>
  </si>
  <si>
    <t>Num Prach Occasion</t>
  </si>
  <si>
    <t>Số Prach occasion theo miền thời gian trong Slot</t>
  </si>
  <si>
    <t>Prach Format</t>
  </si>
  <si>
    <t>Giá trị: 0, 1, 2, 3, 4 - A1, 5 -  A2,6 -  A3, 7 - B1, 8 - B4, 9 - C0, 10 - C2</t>
  </si>
  <si>
    <t>Chỉ support short format</t>
  </si>
  <si>
    <t>Index-fd-RA</t>
  </si>
  <si>
    <t>PRACH PDU (Mỗi FD-RA là một PDU)</t>
  </si>
  <si>
    <t>Prach Start Symbol</t>
  </si>
  <si>
    <t>Start Symbol Index của Time-Domain Prach Occasion đầu tiên trong slot</t>
  </si>
  <si>
    <t>num Cs</t>
  </si>
  <si>
    <t>ZC zone Configuration Number</t>
  </si>
  <si>
    <t>?</t>
  </si>
  <si>
    <t>II.3</t>
  </si>
  <si>
    <t>PUCCH PDU</t>
  </si>
  <si>
    <t>Chỉ áp dụng với format 2,3,4</t>
  </si>
  <si>
    <t>định danh PUCCH PDU</t>
  </si>
  <si>
    <t>Giá trị: 0-&gt;3</t>
  </si>
  <si>
    <t>RB start</t>
  </si>
  <si>
    <t>Start RB index dùng cho PUCCH</t>
  </si>
  <si>
    <t>Số RB dùng cho PUCCH</t>
  </si>
  <si>
    <t>Start symbol Index</t>
  </si>
  <si>
    <t>Start symbol trong Slot</t>
  </si>
  <si>
    <t>IntraslotFrequencyHopping</t>
  </si>
  <si>
    <t>secondHop-PRB</t>
  </si>
  <si>
    <t>Giá trị: 0-&gt;274
Chỉ có ý nghĩa khi IntraSlotFrequencyHopping Enable</t>
  </si>
  <si>
    <t>Initial CyclicShift (M0)</t>
  </si>
  <si>
    <t>Áp dụng cho format 0,1,3</t>
  </si>
  <si>
    <t>n-ID-PUCCH-Scrambling</t>
  </si>
  <si>
    <t>Tương tự như với PUSCH</t>
  </si>
  <si>
    <t>TimeDomain-OCC-Index</t>
  </si>
  <si>
    <t>Chỉ áp dụng với Format 1.
Giá trị: 0-&gt;6</t>
  </si>
  <si>
    <t>n-ID0-PUCCH-DMRS-Scrambling</t>
  </si>
  <si>
    <t>Chỉ sử dụng cho format 2</t>
  </si>
  <si>
    <t>giá trị : 0-&gt;1
với format 0/1:
0 - no SR
1 - SR Occasion
Với format 2/3/4
0 - no SR
1 - 1 bit SR</t>
  </si>
  <si>
    <t>HARQ bitLength</t>
  </si>
  <si>
    <t>Giá trị:
0 - No HARQ Bit
&gt;0 - Số HARQ Bit</t>
  </si>
  <si>
    <t>CSI</t>
  </si>
  <si>
    <t>CSI-Bitlength</t>
  </si>
  <si>
    <t>Tạm thời bỏ qua (giá trị set bằng 0)</t>
  </si>
  <si>
    <t>num-UCIs</t>
  </si>
  <si>
    <t>Số PDU trong UCI.indication</t>
  </si>
  <si>
    <t>PDU type</t>
  </si>
  <si>
    <t>Giá trị:
0 - PUSCH
1 - UCI PDU PUCCH format 0/1
2 - UCI PDU PUCCH format 2/3/4</t>
  </si>
  <si>
    <t>UCI-PDU-Information</t>
  </si>
  <si>
    <t>Kích thước UCI-PDU-information (Bytes)</t>
  </si>
  <si>
    <t>Mục II</t>
  </si>
  <si>
    <t>Mục I</t>
  </si>
  <si>
    <t>Mục III</t>
  </si>
  <si>
    <t>III</t>
  </si>
  <si>
    <t>UCI PDU Data Structure</t>
  </si>
  <si>
    <t>III.1</t>
  </si>
  <si>
    <t>PUSCH PDU RX</t>
  </si>
  <si>
    <t>PDU bitmap</t>
  </si>
  <si>
    <t>Bitmap indicating presence of Optional PDU
Giá trị: 0 = Not present, 1 = Present
Bit 0 : Not used
Bit 1: HARQ
Bit 2: CSI Part 1
Bit 3: CSI Part 2</t>
  </si>
  <si>
    <t>Giá trị Handle trong UL_TTI.request PUSCH PDU (II.1)</t>
  </si>
  <si>
    <t>TimmingAdvanceOffset</t>
  </si>
  <si>
    <t>RSSI</t>
  </si>
  <si>
    <t>HARQ Information</t>
  </si>
  <si>
    <t>Chỉ tồn tại nếu Bit 1 (HARQ) trong PDU bitmap bằng 1.</t>
  </si>
  <si>
    <t>CSI part 1</t>
  </si>
  <si>
    <t>Chỉ tồn tại nếu Bit 2 (CSI Part1) trong PDU bitmap bằng 1.</t>
  </si>
  <si>
    <t>CSI Part 2</t>
  </si>
  <si>
    <t>Chỉ tồn tại nếu Bit 3 (CSI Part1) trong PDU bitmap bằng 1.</t>
  </si>
  <si>
    <t>III.2</t>
  </si>
  <si>
    <t>PUCCH PDU RX Format 0/1</t>
  </si>
  <si>
    <t>Timing Advance Offset (TA)</t>
  </si>
  <si>
    <t>SR Information</t>
  </si>
  <si>
    <t>Dựa vào giá trị này, MAC có thể tự xác định vị trí TB trên DDR và TBS</t>
  </si>
  <si>
    <r>
      <t xml:space="preserve">Giá trị TA đo được. Giá trị 0-&gt;63. 
Giá trị </t>
    </r>
    <r>
      <rPr>
        <b/>
        <sz val="11"/>
        <color theme="1"/>
        <rFont val="Calibri"/>
        <family val="2"/>
        <scheme val="minor"/>
      </rPr>
      <t>0xFFFF</t>
    </r>
    <r>
      <rPr>
        <sz val="11"/>
        <color theme="1"/>
        <rFont val="Calibri"/>
        <family val="2"/>
        <scheme val="minor"/>
      </rPr>
      <t xml:space="preserve"> được set nếu giá trị TA này là </t>
    </r>
    <r>
      <rPr>
        <b/>
        <sz val="11"/>
        <color theme="1"/>
        <rFont val="Calibri"/>
        <family val="2"/>
        <scheme val="minor"/>
      </rPr>
      <t>KHÔNG</t>
    </r>
    <r>
      <rPr>
        <sz val="11"/>
        <color theme="1"/>
        <rFont val="Calibri"/>
        <family val="2"/>
        <scheme val="minor"/>
      </rPr>
      <t xml:space="preserve"> hợp lệ</t>
    </r>
  </si>
  <si>
    <t>IV</t>
  </si>
  <si>
    <t>HARQ PDU format 0/1</t>
  </si>
  <si>
    <t>num-HARQ</t>
  </si>
  <si>
    <t>Harq-Confident Level</t>
  </si>
  <si>
    <t>Giá trị:
0 = Tốt
1 = Xấu
Đối với format 0/1 không có CRC check, L1 phải dựa vào chất lượng tín hiệu để đưa ra quyết định</t>
  </si>
  <si>
    <t>For num-HARQ {</t>
  </si>
  <si>
    <t>harq-value</t>
  </si>
  <si>
    <t>Giá trị:
0 = ACK
1 = NACK</t>
  </si>
  <si>
    <t>V</t>
  </si>
  <si>
    <t>HARQ PDU Format 2/3/4</t>
  </si>
  <si>
    <t>Số Bit HARQ trong UCI (tối đa bằng 2)</t>
  </si>
  <si>
    <t>HARQ - BitLength</t>
  </si>
  <si>
    <t>Số Bit HARQ trong PUCCH</t>
  </si>
  <si>
    <t>Harq Payload</t>
  </si>
  <si>
    <t>III.3</t>
  </si>
  <si>
    <t>PUCCH PDU RX Format 2/3/4</t>
  </si>
  <si>
    <t>Bit 0: SR
Bit 1: HARQ
Bit 2: CSI part 1
Bit 3: CSI Part 2</t>
  </si>
  <si>
    <t>SINR</t>
  </si>
  <si>
    <t>Signal to Noise Ratio, Tạm thời bỏ qua</t>
  </si>
  <si>
    <t>Giá trị: 0-&gt;63
0xFFFF được set khi giá trị này là Invalid</t>
  </si>
  <si>
    <t>mục V</t>
  </si>
  <si>
    <t>Tạm thời bỏ qua, coi như không có trường này</t>
  </si>
  <si>
    <t>VI</t>
  </si>
  <si>
    <t>SR Information format 0/1</t>
  </si>
  <si>
    <t>SR indication</t>
  </si>
  <si>
    <t>Giá trị:
0 = SR Not Detected
1 = SR Detected</t>
  </si>
  <si>
    <t>sr-ConfidentLevel</t>
  </si>
  <si>
    <t>Giá trị:
0 = Tốt 
1 = Tệ</t>
  </si>
  <si>
    <t>Mục VI. Trường thông tin này chỉ tồn tại nếu Bit 0 của PDU Bitmap bằng 1</t>
  </si>
  <si>
    <t>Mục IV. Trường thông tin này chỉ tồn tại nếu Bit 1 của PDU Bitmap bằng 1</t>
  </si>
  <si>
    <t>CRC information</t>
  </si>
  <si>
    <t>Xem mục VII</t>
  </si>
  <si>
    <t>VII</t>
  </si>
  <si>
    <t>CRC Information</t>
  </si>
  <si>
    <t>Trạng thái CRC của cả Transport Block.
Giá trị:
0 = Pass
1 = Fail</t>
  </si>
  <si>
    <t>Num-CB</t>
  </si>
  <si>
    <t>cb-CRC-status</t>
  </si>
  <si>
    <t>Dạng bitmap
Giá trị bit:
0 = Pass
1 = Fail</t>
  </si>
  <si>
    <t>Message type</t>
  </si>
  <si>
    <t>Giá trị:
0 - UCI Indication</t>
  </si>
  <si>
    <t>Information Address</t>
  </si>
  <si>
    <t>Địa chỉ chứa UCI.indication trong L2SRAM (CHIP) hoặc OCM (FPGA)</t>
  </si>
  <si>
    <t>Information Length</t>
  </si>
  <si>
    <t>Kích thước của UCI.indication (byte)</t>
  </si>
  <si>
    <t>Giá trị:
0 = DL_TTI.request
1 = UL_TTI.request</t>
  </si>
  <si>
    <t>Địa chỉ chứa DL_TTI.request/ UL_TTI.request</t>
  </si>
  <si>
    <t>kích thước bản tin DL_TTI / UL_TTI</t>
  </si>
  <si>
    <t>For num-UCIs {     (nfapi_nr_uci_t)</t>
  </si>
  <si>
    <t>Số Codeblock trong TB.
Giá trị: 1-&gt; 64</t>
  </si>
  <si>
    <t>uint8 [8]</t>
  </si>
  <si>
    <t>Tương tự như PUSCH PDU RX.
Bit 0: SR
Bit 1: HARQ</t>
  </si>
  <si>
    <t>harq CRC</t>
  </si>
  <si>
    <t>Giá trị:
0 - pass
1 - fail</t>
  </si>
  <si>
    <t>UCI.indication  (nfapi_nr_uci_indication_t)</t>
  </si>
  <si>
    <t>Giá trị:
0 = No SR
1 = SR</t>
  </si>
  <si>
    <t>Giới hạn chỉ feedback tối đa 64 bit HARQ. 
Giá trị mỗi bit:
0 = ACK
1 = NACK</t>
  </si>
  <si>
    <t>RACH.indication</t>
  </si>
  <si>
    <t>num-pdu</t>
  </si>
  <si>
    <t>for num-pdu {   
(nfapi_nr_prach_indication_pdu_t)</t>
  </si>
  <si>
    <t>frequency index</t>
  </si>
  <si>
    <t>avg_rssi</t>
  </si>
  <si>
    <t>avg_snr</t>
  </si>
  <si>
    <t>num premable</t>
  </si>
  <si>
    <t>Giá trị: 1-&gt;64
Số lượng PreambleID detect được</t>
  </si>
  <si>
    <t>for num-premable {</t>
  </si>
  <si>
    <t>preamble index</t>
  </si>
  <si>
    <t>timing-advance</t>
  </si>
  <si>
    <t>Vị trí tần số thu được Prach. Giá trị này phục vụ tính RNTI tại MAC</t>
  </si>
  <si>
    <t>SR-flag</t>
  </si>
  <si>
    <t>DL_TTI.request (Bản tin lập lịch DL cho 1 slot -  nfapi_nr_dl_tti_request_t)</t>
  </si>
  <si>
    <t>Padding cho đủ 4 byte (1 word)</t>
  </si>
  <si>
    <t>Đơn vị là RE, là vị trí offset so với điểm FFT Zeros</t>
  </si>
  <si>
    <t>Đơn vị là RB</t>
  </si>
  <si>
    <t>Đơn vị RB</t>
  </si>
  <si>
    <t>PDSCH</t>
  </si>
  <si>
    <t>SSB</t>
  </si>
  <si>
    <t>là giá trị offset từ RB thấp nhất chứa SSB đến PointA, đơn vị là RE. PointA điểm thấp nhất của băng thông (điểm FFT0)</t>
  </si>
  <si>
    <r>
      <t xml:space="preserve">L1 to L2 Interrupt Message </t>
    </r>
    <r>
      <rPr>
        <sz val="11"/>
        <color theme="1"/>
        <rFont val="Calibri"/>
        <family val="2"/>
        <scheme val="minor"/>
      </rPr>
      <t>(Sau khi Write UCI.indication vào L2SRAM, L1 gửi Interrupt lên L2)</t>
    </r>
    <r>
      <rPr>
        <b/>
        <sz val="11"/>
        <color theme="1"/>
        <rFont val="Calibri"/>
        <family val="2"/>
        <scheme val="minor"/>
      </rPr>
      <t xml:space="preserve">
</t>
    </r>
    <r>
      <rPr>
        <sz val="11"/>
        <color theme="1"/>
        <rFont val="Calibri"/>
        <family val="2"/>
        <scheme val="minor"/>
      </rPr>
      <t>(Đối với CHIP : Đây là thông tin 32 byte Descriptor
- Đối với FPGA : Đây là thông tin truyền tải trong kênh CTRL)</t>
    </r>
  </si>
  <si>
    <r>
      <t xml:space="preserve">L2 to L1 Interrupt Message
</t>
    </r>
    <r>
      <rPr>
        <sz val="11"/>
        <color theme="1"/>
        <rFont val="Calibri"/>
        <family val="2"/>
        <scheme val="minor"/>
      </rPr>
      <t>(Đối với CHIP : Đây là thông tin 32 byte Descriptor
- Đối với FPGA : Đây là thông tin truyền tải trong kênh CTRL)</t>
    </r>
  </si>
  <si>
    <t>Khi chạy trên FPGA, bỏ qua thông tin này</t>
  </si>
  <si>
    <t>Đơn vị là RE, offset tính từ RB0 của CORESET đến điểm 0 (RE đầu tiên) của bandwidth</t>
  </si>
  <si>
    <t>uint8[16]</t>
  </si>
  <si>
    <t>Support tối đa 128 bit</t>
  </si>
  <si>
    <t>đơn vi là RB</t>
  </si>
  <si>
    <t>8-16</t>
  </si>
  <si>
    <t>7-15</t>
  </si>
  <si>
    <t>1-2</t>
  </si>
  <si>
    <t xml:space="preserve">Tạm thời bỏ qua </t>
  </si>
  <si>
    <t>Tạm thời không support mode này</t>
  </si>
  <si>
    <t>4 bit</t>
  </si>
  <si>
    <t>1 bit</t>
  </si>
  <si>
    <t>3 bit</t>
  </si>
  <si>
    <t>2 bit</t>
  </si>
  <si>
    <t>8 bit</t>
  </si>
  <si>
    <t>Giá trị:
0: Nếu Searchspace là Common
C-RNTI: Nếu là UE-specific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</si>
</sst>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b/>
      <i/>
      <sz val="11"/>
      <color theme="1"/>
      <name val="Calibri"/>
      <family val="2"/>
      <scheme val="minor"/>
    </font>
    <font>
      <i/>
      <sz val="12"/>
      <color rgb="FF000000"/>
      <name val="Helvetica-Oblique"/>
    </font>
    <font>
      <b/>
      <sz val="14"/>
      <color theme="1"/>
      <name val="Calibri"/>
      <family val="2"/>
      <scheme val="minor"/>
    </font>
    <font>
      <sz val="11"/>
      <color theme="1"/>
      <name val="Consolas"/>
      <family val="3"/>
    </font>
    <font>
      <b/>
      <sz val="11"/>
      <color theme="1"/>
      <name val="Consolas"/>
      <family val="3"/>
    </font>
    <font>
      <sz val="11"/>
      <color rgb="FFFF0000"/>
      <name val="Consolas"/>
      <family val="3"/>
    </font>
    <font>
      <sz val="11"/>
      <name val="Calibri"/>
      <family val="2"/>
      <scheme val="minor"/>
    </font>
  </fonts>
  <fills count="30">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9"/>
        <bgColor indexed="64"/>
      </patternFill>
    </fill>
    <fill>
      <patternFill patternType="solid">
        <fgColor theme="1" tint="0.499984740745262"/>
        <bgColor indexed="64"/>
      </patternFill>
    </fill>
    <fill>
      <patternFill patternType="solid">
        <fgColor theme="8" tint="0.39997558519241921"/>
        <bgColor indexed="64"/>
      </patternFill>
    </fill>
    <fill>
      <patternFill patternType="solid">
        <fgColor theme="2" tint="-0.49998474074526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1" tint="0.34998626667073579"/>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24">
    <xf numFmtId="0" fontId="0" fillId="0" borderId="0" xfId="0"/>
    <xf numFmtId="0" fontId="0" fillId="0" borderId="0" xfId="0" applyAlignment="1">
      <alignment wrapText="1"/>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xf numFmtId="0" fontId="0" fillId="0" borderId="1" xfId="0" quotePrefix="1" applyBorder="1"/>
    <xf numFmtId="0" fontId="0" fillId="0" borderId="1" xfId="0" applyBorder="1" applyAlignment="1">
      <alignment wrapText="1"/>
    </xf>
    <xf numFmtId="0" fontId="0" fillId="0" borderId="1" xfId="0" applyBorder="1" applyAlignment="1">
      <alignment vertical="center" wrapText="1"/>
    </xf>
    <xf numFmtId="0" fontId="0" fillId="0" borderId="1" xfId="0" quotePrefix="1" applyBorder="1" applyAlignment="1">
      <alignment horizontal="left" vertical="center" wrapText="1"/>
    </xf>
    <xf numFmtId="0" fontId="0" fillId="0" borderId="1" xfId="0" quotePrefix="1" applyBorder="1" applyAlignment="1">
      <alignment vertical="center" wrapText="1"/>
    </xf>
    <xf numFmtId="0" fontId="1" fillId="0" borderId="1" xfId="0" applyFont="1" applyBorder="1"/>
    <xf numFmtId="0" fontId="0" fillId="0" borderId="5" xfId="0" applyBorder="1" applyAlignment="1">
      <alignment horizontal="left" vertical="center"/>
    </xf>
    <xf numFmtId="0" fontId="0" fillId="0" borderId="1" xfId="0" quotePrefix="1" applyBorder="1" applyAlignment="1">
      <alignment wrapText="1"/>
    </xf>
    <xf numFmtId="0" fontId="2" fillId="0" borderId="1" xfId="0" applyFont="1" applyBorder="1" applyAlignment="1">
      <alignment horizontal="center" vertical="center"/>
    </xf>
    <xf numFmtId="0" fontId="0" fillId="0" borderId="5" xfId="0" applyBorder="1"/>
    <xf numFmtId="0" fontId="6" fillId="5" borderId="1" xfId="0" applyFont="1" applyFill="1" applyBorder="1" applyAlignment="1">
      <alignment horizontal="center" vertical="center"/>
    </xf>
    <xf numFmtId="0" fontId="6" fillId="5" borderId="6"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7" xfId="0" applyFont="1" applyFill="1" applyBorder="1" applyAlignment="1">
      <alignment horizontal="center" vertical="center" wrapText="1"/>
    </xf>
    <xf numFmtId="0" fontId="0" fillId="0" borderId="1" xfId="0" quotePrefix="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0" fontId="5" fillId="2" borderId="1" xfId="0" applyFont="1" applyFill="1" applyBorder="1" applyAlignment="1">
      <alignment vertical="center"/>
    </xf>
    <xf numFmtId="0" fontId="0" fillId="2" borderId="1" xfId="0" applyFill="1" applyBorder="1" applyAlignment="1">
      <alignment vertical="center"/>
    </xf>
    <xf numFmtId="0" fontId="0" fillId="2" borderId="1" xfId="0" applyFill="1" applyBorder="1" applyAlignment="1">
      <alignment vertical="center" wrapText="1"/>
    </xf>
    <xf numFmtId="0" fontId="0" fillId="2" borderId="1" xfId="0" applyFill="1" applyBorder="1" applyAlignment="1">
      <alignment horizontal="center" vertical="center"/>
    </xf>
    <xf numFmtId="0" fontId="0" fillId="2" borderId="1" xfId="0" quotePrefix="1" applyFill="1" applyBorder="1" applyAlignment="1">
      <alignment vertical="center" wrapText="1"/>
    </xf>
    <xf numFmtId="0" fontId="0" fillId="2" borderId="1" xfId="0" quotePrefix="1" applyFill="1" applyBorder="1" applyAlignment="1">
      <alignment horizontal="center" vertical="center"/>
    </xf>
    <xf numFmtId="0" fontId="2" fillId="0" borderId="1" xfId="0" applyFont="1" applyBorder="1" applyAlignment="1">
      <alignment vertical="center"/>
    </xf>
    <xf numFmtId="0" fontId="0" fillId="0" borderId="1" xfId="0" applyBorder="1" applyAlignment="1">
      <alignment horizontal="center"/>
    </xf>
    <xf numFmtId="0" fontId="7" fillId="0" borderId="0" xfId="0" applyFont="1" applyAlignment="1">
      <alignment vertical="center"/>
    </xf>
    <xf numFmtId="0" fontId="7" fillId="0" borderId="0" xfId="0" applyFont="1" applyAlignment="1">
      <alignment horizontal="center" vertical="center"/>
    </xf>
    <xf numFmtId="0" fontId="2" fillId="5" borderId="1" xfId="0" applyFont="1" applyFill="1" applyBorder="1" applyAlignment="1">
      <alignment horizontal="center" vertical="center" wrapText="1"/>
    </xf>
    <xf numFmtId="0" fontId="2" fillId="0" borderId="1" xfId="0" applyFont="1" applyBorder="1" applyAlignment="1">
      <alignment horizontal="center"/>
    </xf>
    <xf numFmtId="0" fontId="2" fillId="0" borderId="4" xfId="0" applyFont="1" applyBorder="1" applyAlignment="1">
      <alignment horizontal="center"/>
    </xf>
    <xf numFmtId="0" fontId="2" fillId="5" borderId="4" xfId="0" applyFont="1" applyFill="1" applyBorder="1" applyAlignment="1">
      <alignment horizontal="center"/>
    </xf>
    <xf numFmtId="0" fontId="0" fillId="0" borderId="4" xfId="0" applyBorder="1"/>
    <xf numFmtId="0" fontId="0" fillId="5" borderId="1" xfId="0" applyFill="1" applyBorder="1" applyAlignment="1">
      <alignment horizontal="center"/>
    </xf>
    <xf numFmtId="0" fontId="0" fillId="5" borderId="1" xfId="0" quotePrefix="1" applyFill="1" applyBorder="1" applyAlignment="1">
      <alignment vertical="center" wrapText="1"/>
    </xf>
    <xf numFmtId="0" fontId="0" fillId="0" borderId="6" xfId="0" applyBorder="1"/>
    <xf numFmtId="0" fontId="7" fillId="0" borderId="4" xfId="0" applyFont="1" applyBorder="1" applyAlignment="1">
      <alignment vertical="center"/>
    </xf>
    <xf numFmtId="0" fontId="0" fillId="0" borderId="4" xfId="0" applyBorder="1" applyAlignment="1">
      <alignment vertical="center"/>
    </xf>
    <xf numFmtId="0" fontId="0" fillId="0" borderId="4" xfId="0" applyBorder="1" applyAlignment="1">
      <alignment horizontal="left"/>
    </xf>
    <xf numFmtId="0" fontId="1" fillId="0" borderId="4" xfId="0" applyFont="1" applyBorder="1"/>
    <xf numFmtId="0" fontId="9" fillId="0" borderId="4" xfId="0" applyFont="1" applyBorder="1" applyAlignment="1">
      <alignment vertical="center"/>
    </xf>
    <xf numFmtId="0" fontId="0" fillId="14" borderId="1" xfId="0" applyFill="1" applyBorder="1" applyAlignment="1">
      <alignment horizontal="center" vertical="center"/>
    </xf>
    <xf numFmtId="0" fontId="0" fillId="14" borderId="0" xfId="0" applyFill="1"/>
    <xf numFmtId="0" fontId="0" fillId="0" borderId="8" xfId="0" applyBorder="1" applyAlignment="1">
      <alignment horizontal="center" vertical="center"/>
    </xf>
    <xf numFmtId="0" fontId="0" fillId="14" borderId="0" xfId="0" applyFill="1" applyAlignment="1">
      <alignment wrapText="1"/>
    </xf>
    <xf numFmtId="0" fontId="0" fillId="14" borderId="0" xfId="0" applyFill="1" applyAlignment="1">
      <alignment horizontal="left" vertical="center"/>
    </xf>
    <xf numFmtId="0" fontId="0" fillId="15" borderId="1" xfId="0" applyFill="1" applyBorder="1"/>
    <xf numFmtId="0" fontId="0" fillId="15" borderId="2" xfId="0" applyFill="1" applyBorder="1"/>
    <xf numFmtId="0" fontId="0" fillId="15" borderId="3" xfId="0" applyFill="1" applyBorder="1"/>
    <xf numFmtId="0" fontId="0" fillId="15" borderId="4" xfId="0" applyFill="1" applyBorder="1"/>
    <xf numFmtId="0" fontId="0" fillId="15" borderId="0" xfId="0" applyFill="1"/>
    <xf numFmtId="0" fontId="2" fillId="15" borderId="2" xfId="0" applyFont="1" applyFill="1" applyBorder="1" applyAlignment="1">
      <alignment horizontal="left"/>
    </xf>
    <xf numFmtId="0" fontId="2" fillId="15" borderId="3" xfId="0" applyFont="1" applyFill="1" applyBorder="1" applyAlignment="1">
      <alignment horizontal="left"/>
    </xf>
    <xf numFmtId="0" fontId="2" fillId="15" borderId="4" xfId="0" applyFont="1" applyFill="1" applyBorder="1" applyAlignment="1">
      <alignment horizontal="left"/>
    </xf>
    <xf numFmtId="0" fontId="0" fillId="15" borderId="1" xfId="0" applyFill="1" applyBorder="1" applyAlignment="1">
      <alignment horizontal="left" vertical="center"/>
    </xf>
    <xf numFmtId="0" fontId="0" fillId="15" borderId="1" xfId="0" applyFill="1" applyBorder="1" applyAlignment="1">
      <alignment vertical="center"/>
    </xf>
    <xf numFmtId="0" fontId="0" fillId="15" borderId="0" xfId="0" applyFill="1" applyAlignment="1">
      <alignment horizontal="left" vertical="center"/>
    </xf>
    <xf numFmtId="0" fontId="0" fillId="15" borderId="2" xfId="0" applyFill="1" applyBorder="1" applyAlignment="1">
      <alignment vertical="center"/>
    </xf>
    <xf numFmtId="0" fontId="0" fillId="15" borderId="3" xfId="0" applyFill="1" applyBorder="1" applyAlignment="1">
      <alignment vertical="center"/>
    </xf>
    <xf numFmtId="0" fontId="0" fillId="15" borderId="4" xfId="0" applyFill="1" applyBorder="1" applyAlignment="1">
      <alignment vertical="center" wrapText="1"/>
    </xf>
    <xf numFmtId="0" fontId="0" fillId="15" borderId="1" xfId="0" applyFill="1" applyBorder="1" applyAlignment="1">
      <alignment wrapText="1"/>
    </xf>
    <xf numFmtId="0" fontId="0" fillId="12" borderId="1" xfId="0" applyFill="1" applyBorder="1"/>
    <xf numFmtId="0" fontId="0" fillId="3" borderId="0" xfId="0" applyFill="1"/>
    <xf numFmtId="0" fontId="2" fillId="15" borderId="2" xfId="0" applyFont="1" applyFill="1" applyBorder="1" applyAlignment="1">
      <alignment horizontal="left" vertical="center"/>
    </xf>
    <xf numFmtId="0" fontId="2" fillId="15" borderId="3" xfId="0" applyFont="1" applyFill="1" applyBorder="1" applyAlignment="1">
      <alignment horizontal="left" vertical="center"/>
    </xf>
    <xf numFmtId="0" fontId="2" fillId="15" borderId="4" xfId="0" applyFont="1" applyFill="1" applyBorder="1" applyAlignment="1">
      <alignment horizontal="left" vertical="center"/>
    </xf>
    <xf numFmtId="0" fontId="0" fillId="12" borderId="0" xfId="0" applyFill="1" applyAlignment="1">
      <alignment horizontal="left" vertical="center"/>
    </xf>
    <xf numFmtId="0" fontId="0" fillId="12" borderId="1" xfId="0" applyFill="1" applyBorder="1" applyAlignment="1">
      <alignment vertical="center"/>
    </xf>
    <xf numFmtId="0" fontId="0" fillId="12" borderId="1" xfId="0" quotePrefix="1" applyFill="1" applyBorder="1" applyAlignment="1">
      <alignment vertical="center" wrapText="1"/>
    </xf>
    <xf numFmtId="0" fontId="0" fillId="15" borderId="1" xfId="0" applyFill="1" applyBorder="1" applyAlignment="1">
      <alignment horizontal="center" vertical="center"/>
    </xf>
    <xf numFmtId="0" fontId="2" fillId="16" borderId="1" xfId="0" applyFont="1" applyFill="1" applyBorder="1" applyAlignment="1">
      <alignment horizontal="center" vertical="center"/>
    </xf>
    <xf numFmtId="0" fontId="2" fillId="16" borderId="0" xfId="0" applyFont="1" applyFill="1"/>
    <xf numFmtId="0" fontId="0" fillId="16" borderId="1" xfId="0" applyFill="1" applyBorder="1" applyAlignment="1">
      <alignment horizontal="center" vertical="center"/>
    </xf>
    <xf numFmtId="0" fontId="0" fillId="16" borderId="0" xfId="0" applyFill="1" applyAlignment="1">
      <alignment horizontal="left" vertical="center"/>
    </xf>
    <xf numFmtId="0" fontId="0" fillId="16" borderId="0" xfId="0" applyFill="1"/>
    <xf numFmtId="0" fontId="0" fillId="17" borderId="1" xfId="0" applyFill="1" applyBorder="1" applyAlignment="1">
      <alignment horizontal="center" vertical="center"/>
    </xf>
    <xf numFmtId="0" fontId="0" fillId="17" borderId="1" xfId="0" applyFill="1" applyBorder="1" applyAlignment="1">
      <alignment horizontal="left" vertical="center"/>
    </xf>
    <xf numFmtId="0" fontId="0" fillId="17" borderId="1" xfId="0" applyFill="1" applyBorder="1" applyAlignment="1">
      <alignment horizontal="left" vertical="center" wrapText="1"/>
    </xf>
    <xf numFmtId="0" fontId="0" fillId="17" borderId="0" xfId="0" applyFill="1" applyAlignment="1">
      <alignment horizontal="left" vertical="center"/>
    </xf>
    <xf numFmtId="0" fontId="0" fillId="17" borderId="0" xfId="0" applyFill="1"/>
    <xf numFmtId="0" fontId="0" fillId="3" borderId="1" xfId="0" applyFill="1" applyBorder="1" applyAlignment="1">
      <alignment horizontal="center" vertical="center"/>
    </xf>
    <xf numFmtId="16" fontId="0" fillId="0" borderId="1" xfId="0" quotePrefix="1" applyNumberFormat="1" applyBorder="1" applyAlignment="1">
      <alignment horizontal="center" vertical="center"/>
    </xf>
    <xf numFmtId="0" fontId="0" fillId="15" borderId="1" xfId="0" quotePrefix="1" applyFill="1" applyBorder="1" applyAlignment="1">
      <alignment horizontal="left" vertical="center" wrapText="1"/>
    </xf>
    <xf numFmtId="0" fontId="0" fillId="3" borderId="1" xfId="0" quotePrefix="1" applyFill="1" applyBorder="1" applyAlignment="1">
      <alignment horizontal="center" vertical="center" wrapText="1"/>
    </xf>
    <xf numFmtId="0" fontId="0" fillId="3" borderId="0" xfId="0" applyFill="1" applyAlignment="1">
      <alignment vertical="center"/>
    </xf>
    <xf numFmtId="0" fontId="1" fillId="0" borderId="1" xfId="0" applyFont="1" applyBorder="1" applyAlignment="1">
      <alignment vertical="center" wrapText="1"/>
    </xf>
    <xf numFmtId="0" fontId="0" fillId="0" borderId="3" xfId="0" applyBorder="1" applyAlignment="1">
      <alignment vertical="center"/>
    </xf>
    <xf numFmtId="0" fontId="0" fillId="0" borderId="4" xfId="0" applyBorder="1" applyAlignment="1">
      <alignment vertical="center" wrapText="1"/>
    </xf>
    <xf numFmtId="0" fontId="0" fillId="0" borderId="3" xfId="0" applyBorder="1"/>
    <xf numFmtId="0" fontId="0" fillId="0" borderId="0" xfId="0" quotePrefix="1"/>
    <xf numFmtId="0" fontId="1" fillId="0" borderId="1" xfId="0" quotePrefix="1" applyFont="1" applyBorder="1" applyAlignment="1">
      <alignment horizontal="center" vertical="center"/>
    </xf>
    <xf numFmtId="0" fontId="0" fillId="3" borderId="1" xfId="0" applyFill="1" applyBorder="1" applyAlignment="1">
      <alignment horizontal="left" vertical="center"/>
    </xf>
    <xf numFmtId="0" fontId="0" fillId="3" borderId="1" xfId="0" applyFill="1" applyBorder="1" applyAlignment="1">
      <alignment horizontal="left"/>
    </xf>
    <xf numFmtId="0" fontId="0" fillId="3" borderId="0" xfId="0" applyFill="1" applyAlignment="1">
      <alignment horizontal="left"/>
    </xf>
    <xf numFmtId="0" fontId="0" fillId="3" borderId="1" xfId="0" applyFill="1" applyBorder="1" applyAlignment="1">
      <alignment vertical="center"/>
    </xf>
    <xf numFmtId="0" fontId="0" fillId="18" borderId="1" xfId="0" applyFill="1" applyBorder="1"/>
    <xf numFmtId="0" fontId="0" fillId="18" borderId="1" xfId="0" applyFill="1" applyBorder="1" applyAlignment="1">
      <alignment horizontal="center" vertical="center"/>
    </xf>
    <xf numFmtId="0" fontId="0" fillId="18" borderId="0" xfId="0" applyFill="1"/>
    <xf numFmtId="0" fontId="2" fillId="0" borderId="0" xfId="0" applyFont="1" applyAlignment="1">
      <alignment horizontal="center"/>
    </xf>
    <xf numFmtId="0" fontId="0" fillId="0" borderId="0" xfId="0" applyAlignment="1">
      <alignment vertical="center"/>
    </xf>
    <xf numFmtId="0" fontId="2" fillId="0" borderId="1" xfId="0" applyFont="1" applyBorder="1" applyAlignment="1">
      <alignment horizontal="center" vertical="center" wrapText="1"/>
    </xf>
    <xf numFmtId="0" fontId="0" fillId="0" borderId="0" xfId="0" applyAlignment="1">
      <alignment horizontal="center"/>
    </xf>
    <xf numFmtId="0" fontId="2" fillId="0" borderId="1" xfId="0" applyFont="1" applyBorder="1" applyAlignment="1">
      <alignment horizontal="left" vertical="center"/>
    </xf>
    <xf numFmtId="0" fontId="2" fillId="0" borderId="5" xfId="0" applyFont="1" applyBorder="1"/>
    <xf numFmtId="0" fontId="2" fillId="0" borderId="0" xfId="0" applyFont="1" applyAlignment="1">
      <alignment horizontal="left" vertical="center"/>
    </xf>
    <xf numFmtId="0" fontId="0" fillId="0" borderId="0" xfId="0" applyAlignment="1">
      <alignment vertical="center" wrapText="1"/>
    </xf>
    <xf numFmtId="0" fontId="0" fillId="19" borderId="1" xfId="0" applyFill="1" applyBorder="1" applyAlignment="1">
      <alignment horizontal="left" vertical="center"/>
    </xf>
    <xf numFmtId="0" fontId="2" fillId="19" borderId="1" xfId="0" applyFont="1" applyFill="1" applyBorder="1" applyAlignment="1">
      <alignment horizontal="left" vertical="center"/>
    </xf>
    <xf numFmtId="0" fontId="2" fillId="19" borderId="1" xfId="0" applyFont="1" applyFill="1" applyBorder="1" applyAlignment="1">
      <alignment vertical="center"/>
    </xf>
    <xf numFmtId="0" fontId="2" fillId="19" borderId="0" xfId="0" applyFont="1" applyFill="1" applyAlignment="1">
      <alignment vertical="center"/>
    </xf>
    <xf numFmtId="0" fontId="2" fillId="17" borderId="2" xfId="0" applyFont="1" applyFill="1" applyBorder="1" applyAlignment="1">
      <alignment horizontal="left"/>
    </xf>
    <xf numFmtId="0" fontId="2" fillId="17" borderId="3" xfId="0" applyFont="1" applyFill="1" applyBorder="1" applyAlignment="1">
      <alignment horizontal="left"/>
    </xf>
    <xf numFmtId="0" fontId="2" fillId="17" borderId="4" xfId="0" applyFont="1" applyFill="1" applyBorder="1" applyAlignment="1">
      <alignment horizontal="left"/>
    </xf>
    <xf numFmtId="0" fontId="0" fillId="24" borderId="1" xfId="0" applyFill="1" applyBorder="1"/>
    <xf numFmtId="0" fontId="0" fillId="24" borderId="0" xfId="0" applyFill="1"/>
    <xf numFmtId="0" fontId="0" fillId="24" borderId="1" xfId="0" applyFill="1" applyBorder="1" applyAlignment="1">
      <alignment horizontal="left" vertical="center"/>
    </xf>
    <xf numFmtId="0" fontId="0" fillId="24" borderId="0" xfId="0" applyFill="1" applyAlignment="1">
      <alignment horizontal="left" vertical="center"/>
    </xf>
    <xf numFmtId="0" fontId="2" fillId="0" borderId="1" xfId="0" applyFont="1" applyBorder="1"/>
    <xf numFmtId="0" fontId="2" fillId="0" borderId="1" xfId="0" applyFont="1" applyBorder="1" applyAlignment="1">
      <alignment horizontal="center" wrapText="1"/>
    </xf>
    <xf numFmtId="0" fontId="0" fillId="0" borderId="5" xfId="0" applyBorder="1" applyAlignment="1">
      <alignment wrapText="1"/>
    </xf>
    <xf numFmtId="0" fontId="2" fillId="3" borderId="1" xfId="0" applyFont="1" applyFill="1" applyBorder="1" applyAlignment="1">
      <alignment horizontal="left" vertical="center"/>
    </xf>
    <xf numFmtId="0" fontId="10" fillId="0" borderId="1" xfId="0" applyFont="1" applyBorder="1"/>
    <xf numFmtId="0" fontId="0" fillId="0" borderId="1" xfId="0" applyBorder="1" applyAlignment="1">
      <alignment horizontal="center" wrapText="1"/>
    </xf>
    <xf numFmtId="0" fontId="0" fillId="26" borderId="1" xfId="0" applyFill="1" applyBorder="1"/>
    <xf numFmtId="0" fontId="2" fillId="26" borderId="2" xfId="0" applyFont="1" applyFill="1" applyBorder="1" applyAlignment="1">
      <alignment horizontal="left"/>
    </xf>
    <xf numFmtId="0" fontId="2" fillId="26" borderId="3" xfId="0" applyFont="1" applyFill="1" applyBorder="1" applyAlignment="1">
      <alignment horizontal="left"/>
    </xf>
    <xf numFmtId="0" fontId="2" fillId="26" borderId="4" xfId="0" applyFont="1" applyFill="1" applyBorder="1" applyAlignment="1">
      <alignment horizontal="left"/>
    </xf>
    <xf numFmtId="0" fontId="0" fillId="26" borderId="0" xfId="0" applyFill="1"/>
    <xf numFmtId="0" fontId="2" fillId="26" borderId="3"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0" fillId="17" borderId="1" xfId="0" applyFill="1" applyBorder="1"/>
    <xf numFmtId="0" fontId="0" fillId="17" borderId="1" xfId="0" applyFill="1" applyBorder="1" applyAlignment="1">
      <alignment horizontal="center"/>
    </xf>
    <xf numFmtId="0" fontId="0" fillId="17" borderId="1" xfId="0" applyFill="1" applyBorder="1" applyAlignment="1">
      <alignment horizontal="center" wrapText="1"/>
    </xf>
    <xf numFmtId="0" fontId="0" fillId="17" borderId="1" xfId="0" applyFill="1" applyBorder="1" applyAlignment="1">
      <alignment horizontal="left" vertical="top" wrapText="1"/>
    </xf>
    <xf numFmtId="0" fontId="0" fillId="3" borderId="1" xfId="0" applyFill="1" applyBorder="1"/>
    <xf numFmtId="0" fontId="0" fillId="3" borderId="1" xfId="0" applyFill="1" applyBorder="1" applyAlignment="1">
      <alignment horizontal="center"/>
    </xf>
    <xf numFmtId="0" fontId="0" fillId="3" borderId="1" xfId="0" applyFill="1" applyBorder="1" applyAlignment="1">
      <alignment horizontal="center" wrapText="1"/>
    </xf>
    <xf numFmtId="0" fontId="0" fillId="3" borderId="1" xfId="0" applyFill="1" applyBorder="1" applyAlignment="1">
      <alignment horizontal="left" vertical="top" wrapText="1"/>
    </xf>
    <xf numFmtId="0" fontId="0" fillId="23" borderId="1" xfId="0" applyFill="1" applyBorder="1"/>
    <xf numFmtId="0" fontId="0" fillId="23" borderId="1" xfId="0" applyFill="1" applyBorder="1" applyAlignment="1">
      <alignment horizontal="center"/>
    </xf>
    <xf numFmtId="0" fontId="0" fillId="23" borderId="1" xfId="0" applyFill="1" applyBorder="1" applyAlignment="1">
      <alignment horizontal="center" wrapText="1"/>
    </xf>
    <xf numFmtId="0" fontId="0" fillId="23" borderId="1" xfId="0" applyFill="1" applyBorder="1" applyAlignment="1">
      <alignment horizontal="left" vertical="top" wrapText="1"/>
    </xf>
    <xf numFmtId="0" fontId="0" fillId="23" borderId="0" xfId="0" applyFill="1"/>
    <xf numFmtId="0" fontId="0" fillId="0" borderId="1" xfId="0"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wrapText="1"/>
    </xf>
    <xf numFmtId="0" fontId="1" fillId="0" borderId="1" xfId="0" applyFont="1" applyBorder="1" applyAlignment="1">
      <alignment horizontal="left" vertical="top" wrapText="1"/>
    </xf>
    <xf numFmtId="0" fontId="2" fillId="0" borderId="1" xfId="0" applyFont="1" applyBorder="1" applyAlignment="1">
      <alignment horizontal="center" vertical="top" wrapText="1"/>
    </xf>
    <xf numFmtId="0" fontId="0" fillId="3" borderId="1" xfId="0" applyFill="1" applyBorder="1" applyAlignment="1">
      <alignment horizontal="left" vertical="center" wrapText="1"/>
    </xf>
    <xf numFmtId="0" fontId="1" fillId="0" borderId="1" xfId="0" applyFont="1" applyBorder="1" applyAlignment="1">
      <alignment horizontal="left" vertical="center" wrapText="1"/>
    </xf>
    <xf numFmtId="0" fontId="0" fillId="2" borderId="1" xfId="0" applyFill="1" applyBorder="1"/>
    <xf numFmtId="0" fontId="0" fillId="9" borderId="1" xfId="0" applyFill="1" applyBorder="1"/>
    <xf numFmtId="0" fontId="0" fillId="5" borderId="1" xfId="0" applyFill="1" applyBorder="1"/>
    <xf numFmtId="0" fontId="0" fillId="0" borderId="2" xfId="0" applyBorder="1"/>
    <xf numFmtId="0" fontId="0" fillId="26" borderId="2" xfId="0" applyFill="1" applyBorder="1"/>
    <xf numFmtId="0" fontId="0" fillId="0" borderId="2" xfId="0" applyBorder="1" applyAlignment="1">
      <alignment horizontal="center"/>
    </xf>
    <xf numFmtId="0" fontId="0" fillId="3" borderId="1" xfId="0" quotePrefix="1" applyFill="1" applyBorder="1" applyAlignment="1">
      <alignment horizontal="center" vertical="center"/>
    </xf>
    <xf numFmtId="0" fontId="1" fillId="0" borderId="1" xfId="0" applyFont="1"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2" fillId="28" borderId="2" xfId="0" applyFont="1" applyFill="1" applyBorder="1" applyAlignment="1">
      <alignment horizontal="left" vertical="center"/>
    </xf>
    <xf numFmtId="0" fontId="2" fillId="28" borderId="3" xfId="0" applyFont="1" applyFill="1" applyBorder="1" applyAlignment="1">
      <alignment horizontal="left" vertical="center"/>
    </xf>
    <xf numFmtId="0" fontId="2" fillId="28" borderId="4" xfId="0" applyFont="1" applyFill="1" applyBorder="1" applyAlignment="1">
      <alignment horizontal="left"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24" borderId="2" xfId="0" applyFont="1" applyFill="1" applyBorder="1" applyAlignment="1">
      <alignment horizontal="left" vertical="center" wrapText="1"/>
    </xf>
    <xf numFmtId="0" fontId="2" fillId="24" borderId="3" xfId="0" applyFont="1" applyFill="1" applyBorder="1" applyAlignment="1">
      <alignment horizontal="left" vertical="center" wrapText="1"/>
    </xf>
    <xf numFmtId="0" fontId="2" fillId="24" borderId="4" xfId="0" applyFont="1" applyFill="1" applyBorder="1" applyAlignment="1">
      <alignment horizontal="left" vertical="center" wrapText="1"/>
    </xf>
    <xf numFmtId="0" fontId="2" fillId="24" borderId="2" xfId="0" applyFont="1" applyFill="1" applyBorder="1" applyAlignment="1">
      <alignment horizontal="left" vertical="center"/>
    </xf>
    <xf numFmtId="0" fontId="2" fillId="24" borderId="3" xfId="0" applyFont="1" applyFill="1" applyBorder="1" applyAlignment="1">
      <alignment horizontal="left" vertical="center"/>
    </xf>
    <xf numFmtId="0" fontId="2" fillId="24" borderId="4" xfId="0" applyFont="1" applyFill="1" applyBorder="1" applyAlignment="1">
      <alignment horizontal="left" vertical="center"/>
    </xf>
    <xf numFmtId="0" fontId="2" fillId="4" borderId="2" xfId="0" applyFont="1" applyFill="1" applyBorder="1" applyAlignment="1">
      <alignment horizontal="left" vertical="center"/>
    </xf>
    <xf numFmtId="0" fontId="2" fillId="4" borderId="3" xfId="0" applyFont="1" applyFill="1" applyBorder="1" applyAlignment="1">
      <alignment horizontal="left" vertical="center"/>
    </xf>
    <xf numFmtId="0" fontId="2" fillId="4" borderId="4" xfId="0" applyFont="1" applyFill="1" applyBorder="1" applyAlignment="1">
      <alignment horizontal="left"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5" xfId="0" applyFill="1" applyBorder="1" applyAlignment="1">
      <alignment horizontal="center" vertical="center"/>
    </xf>
    <xf numFmtId="0" fontId="2" fillId="27" borderId="2" xfId="0" applyFont="1" applyFill="1" applyBorder="1" applyAlignment="1">
      <alignment horizontal="left"/>
    </xf>
    <xf numFmtId="0" fontId="2" fillId="27" borderId="3" xfId="0" applyFont="1" applyFill="1" applyBorder="1" applyAlignment="1">
      <alignment horizontal="left"/>
    </xf>
    <xf numFmtId="0" fontId="2" fillId="27" borderId="4" xfId="0" applyFont="1" applyFill="1" applyBorder="1" applyAlignment="1">
      <alignment horizontal="left"/>
    </xf>
    <xf numFmtId="0" fontId="2" fillId="19" borderId="2" xfId="0" applyFont="1" applyFill="1" applyBorder="1" applyAlignment="1">
      <alignment horizontal="left" vertical="center"/>
    </xf>
    <xf numFmtId="0" fontId="2" fillId="19" borderId="3" xfId="0" applyFont="1" applyFill="1" applyBorder="1" applyAlignment="1">
      <alignment horizontal="left" vertical="center"/>
    </xf>
    <xf numFmtId="0" fontId="2" fillId="19" borderId="4" xfId="0" applyFont="1" applyFill="1" applyBorder="1" applyAlignment="1">
      <alignment horizontal="left" vertical="center"/>
    </xf>
    <xf numFmtId="0" fontId="2" fillId="29" borderId="2" xfId="0" applyFont="1" applyFill="1" applyBorder="1" applyAlignment="1">
      <alignment horizontal="left"/>
    </xf>
    <xf numFmtId="0" fontId="2" fillId="29" borderId="3" xfId="0" applyFont="1" applyFill="1" applyBorder="1" applyAlignment="1">
      <alignment horizontal="left"/>
    </xf>
    <xf numFmtId="0" fontId="2" fillId="29" borderId="4" xfId="0" applyFont="1" applyFill="1" applyBorder="1" applyAlignment="1">
      <alignment horizontal="left"/>
    </xf>
    <xf numFmtId="0" fontId="2" fillId="25" borderId="2" xfId="0" applyFont="1" applyFill="1" applyBorder="1" applyAlignment="1">
      <alignment horizontal="left"/>
    </xf>
    <xf numFmtId="0" fontId="2" fillId="25" borderId="3" xfId="0" applyFont="1" applyFill="1" applyBorder="1" applyAlignment="1">
      <alignment horizontal="left"/>
    </xf>
    <xf numFmtId="0" fontId="2" fillId="25" borderId="4" xfId="0" applyFont="1" applyFill="1" applyBorder="1" applyAlignment="1">
      <alignment horizontal="left"/>
    </xf>
    <xf numFmtId="0" fontId="0" fillId="3" borderId="7" xfId="0" applyFill="1" applyBorder="1" applyAlignment="1">
      <alignment horizontal="center" vertical="center" wrapText="1"/>
    </xf>
    <xf numFmtId="0" fontId="0" fillId="3" borderId="5" xfId="0" applyFill="1" applyBorder="1" applyAlignment="1">
      <alignment horizontal="center" vertical="center" wrapText="1"/>
    </xf>
    <xf numFmtId="0" fontId="0" fillId="3" borderId="8" xfId="0" applyFill="1" applyBorder="1" applyAlignment="1">
      <alignment horizontal="center" vertical="center" wrapText="1"/>
    </xf>
    <xf numFmtId="0" fontId="0" fillId="0" borderId="7" xfId="0" applyBorder="1" applyAlignment="1">
      <alignment horizontal="center"/>
    </xf>
    <xf numFmtId="0" fontId="0" fillId="0" borderId="5" xfId="0" applyBorder="1" applyAlignment="1">
      <alignment horizontal="center"/>
    </xf>
    <xf numFmtId="0" fontId="0" fillId="0" borderId="8" xfId="0" applyBorder="1" applyAlignment="1">
      <alignment horizontal="center"/>
    </xf>
    <xf numFmtId="0" fontId="2" fillId="5" borderId="2" xfId="0" applyFont="1" applyFill="1" applyBorder="1" applyAlignment="1">
      <alignment horizontal="left" vertical="center"/>
    </xf>
    <xf numFmtId="0" fontId="2" fillId="5" borderId="3" xfId="0" applyFont="1" applyFill="1" applyBorder="1" applyAlignment="1">
      <alignment horizontal="left" vertical="center"/>
    </xf>
    <xf numFmtId="0" fontId="2" fillId="5" borderId="4" xfId="0" applyFont="1" applyFill="1" applyBorder="1" applyAlignment="1">
      <alignment horizontal="left" vertical="center"/>
    </xf>
    <xf numFmtId="0" fontId="2" fillId="4" borderId="2" xfId="0" applyFont="1" applyFill="1" applyBorder="1" applyAlignment="1">
      <alignment horizontal="left"/>
    </xf>
    <xf numFmtId="0" fontId="2" fillId="4" borderId="3" xfId="0" applyFont="1" applyFill="1" applyBorder="1" applyAlignment="1">
      <alignment horizontal="left"/>
    </xf>
    <xf numFmtId="0" fontId="2" fillId="4" borderId="4" xfId="0" applyFont="1" applyFill="1" applyBorder="1" applyAlignment="1">
      <alignment horizontal="left"/>
    </xf>
    <xf numFmtId="0" fontId="0" fillId="10" borderId="2" xfId="0" applyFill="1" applyBorder="1" applyAlignment="1">
      <alignment horizontal="left"/>
    </xf>
    <xf numFmtId="0" fontId="0" fillId="10" borderId="3" xfId="0" applyFill="1" applyBorder="1" applyAlignment="1">
      <alignment horizontal="left"/>
    </xf>
    <xf numFmtId="0" fontId="0" fillId="10" borderId="4" xfId="0" applyFill="1" applyBorder="1" applyAlignment="1">
      <alignment horizontal="left"/>
    </xf>
    <xf numFmtId="0" fontId="2" fillId="5" borderId="2" xfId="0" applyFont="1" applyFill="1" applyBorder="1" applyAlignment="1">
      <alignment horizontal="left"/>
    </xf>
    <xf numFmtId="0" fontId="2" fillId="5" borderId="3" xfId="0" applyFont="1" applyFill="1" applyBorder="1" applyAlignment="1">
      <alignment horizontal="left"/>
    </xf>
    <xf numFmtId="0" fontId="2" fillId="5" borderId="4" xfId="0" applyFont="1" applyFill="1" applyBorder="1" applyAlignment="1">
      <alignment horizontal="left"/>
    </xf>
    <xf numFmtId="0" fontId="2" fillId="10" borderId="2" xfId="0" applyFont="1" applyFill="1" applyBorder="1" applyAlignment="1">
      <alignment horizontal="left" vertical="center"/>
    </xf>
    <xf numFmtId="0" fontId="2" fillId="10" borderId="3" xfId="0" applyFont="1" applyFill="1" applyBorder="1" applyAlignment="1">
      <alignment horizontal="left" vertical="center"/>
    </xf>
    <xf numFmtId="0" fontId="2" fillId="10" borderId="4" xfId="0" applyFont="1" applyFill="1" applyBorder="1" applyAlignment="1">
      <alignment horizontal="left" vertical="center"/>
    </xf>
    <xf numFmtId="0" fontId="2" fillId="5" borderId="2" xfId="0" applyFont="1" applyFill="1" applyBorder="1" applyAlignment="1">
      <alignment horizontal="left" wrapText="1"/>
    </xf>
    <xf numFmtId="0" fontId="2" fillId="10" borderId="2" xfId="0" applyFont="1" applyFill="1" applyBorder="1" applyAlignment="1">
      <alignment horizontal="left"/>
    </xf>
    <xf numFmtId="0" fontId="2" fillId="10" borderId="3" xfId="0" applyFont="1" applyFill="1" applyBorder="1" applyAlignment="1">
      <alignment horizontal="left"/>
    </xf>
    <xf numFmtId="0" fontId="2" fillId="10" borderId="4" xfId="0" applyFont="1" applyFill="1" applyBorder="1" applyAlignment="1">
      <alignment horizontal="left"/>
    </xf>
    <xf numFmtId="0" fontId="2" fillId="14" borderId="2" xfId="0" applyFont="1" applyFill="1" applyBorder="1" applyAlignment="1">
      <alignment horizontal="left" vertical="center"/>
    </xf>
    <xf numFmtId="0" fontId="0" fillId="14" borderId="3" xfId="0" applyFill="1" applyBorder="1" applyAlignment="1">
      <alignment horizontal="left" vertical="center"/>
    </xf>
    <xf numFmtId="0" fontId="0" fillId="14" borderId="4" xfId="0" applyFill="1" applyBorder="1" applyAlignment="1">
      <alignment horizontal="left" vertical="center"/>
    </xf>
    <xf numFmtId="0" fontId="2" fillId="8" borderId="2" xfId="0" applyFont="1" applyFill="1" applyBorder="1" applyAlignment="1">
      <alignment horizontal="left" vertical="center"/>
    </xf>
    <xf numFmtId="0" fontId="0" fillId="8" borderId="3" xfId="0" applyFill="1" applyBorder="1" applyAlignment="1">
      <alignment horizontal="left" vertical="center"/>
    </xf>
    <xf numFmtId="0" fontId="0" fillId="8" borderId="4" xfId="0" applyFill="1" applyBorder="1" applyAlignment="1">
      <alignment horizontal="left" vertical="center"/>
    </xf>
    <xf numFmtId="0" fontId="2" fillId="16" borderId="2" xfId="0" applyFont="1" applyFill="1" applyBorder="1" applyAlignment="1">
      <alignment horizontal="left" vertical="center" wrapText="1"/>
    </xf>
    <xf numFmtId="0" fontId="2" fillId="16" borderId="3" xfId="0" applyFont="1" applyFill="1" applyBorder="1" applyAlignment="1">
      <alignment horizontal="left" vertical="center"/>
    </xf>
    <xf numFmtId="0" fontId="2" fillId="16" borderId="4" xfId="0" applyFont="1" applyFill="1" applyBorder="1" applyAlignment="1">
      <alignment horizontal="left" vertical="center"/>
    </xf>
    <xf numFmtId="0" fontId="2" fillId="5" borderId="2" xfId="0" applyFont="1" applyFill="1" applyBorder="1" applyAlignment="1">
      <alignment horizontal="left" vertical="center" wrapText="1"/>
    </xf>
    <xf numFmtId="0" fontId="2"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2" fillId="14" borderId="1" xfId="0" applyFont="1" applyFill="1" applyBorder="1" applyAlignment="1">
      <alignment horizontal="left" vertical="center"/>
    </xf>
    <xf numFmtId="0" fontId="2" fillId="14" borderId="2" xfId="0" applyFont="1" applyFill="1" applyBorder="1" applyAlignment="1">
      <alignment horizontal="left" vertical="center" wrapText="1"/>
    </xf>
    <xf numFmtId="0" fontId="2" fillId="14" borderId="3" xfId="0" applyFont="1" applyFill="1" applyBorder="1" applyAlignment="1">
      <alignment horizontal="left" vertical="center"/>
    </xf>
    <xf numFmtId="0" fontId="2" fillId="14" borderId="4" xfId="0" applyFont="1" applyFill="1" applyBorder="1" applyAlignment="1">
      <alignment horizontal="left" vertical="center"/>
    </xf>
    <xf numFmtId="0" fontId="0" fillId="14" borderId="2" xfId="0" applyFill="1" applyBorder="1" applyAlignment="1">
      <alignment horizontal="left" vertical="center" wrapText="1"/>
    </xf>
    <xf numFmtId="0" fontId="2" fillId="16" borderId="2" xfId="0" applyFont="1" applyFill="1" applyBorder="1" applyAlignment="1">
      <alignment horizontal="left" vertical="center"/>
    </xf>
    <xf numFmtId="0" fontId="0" fillId="0" borderId="7" xfId="0" quotePrefix="1"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18" borderId="2" xfId="0" applyFont="1" applyFill="1" applyBorder="1" applyAlignment="1">
      <alignment horizontal="center"/>
    </xf>
    <xf numFmtId="0" fontId="2" fillId="18" borderId="3" xfId="0" applyFont="1" applyFill="1" applyBorder="1" applyAlignment="1">
      <alignment horizontal="center"/>
    </xf>
    <xf numFmtId="0" fontId="2" fillId="18" borderId="4" xfId="0" applyFont="1" applyFill="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2" fillId="5" borderId="2" xfId="0" applyFont="1" applyFill="1" applyBorder="1" applyAlignment="1">
      <alignment horizontal="center"/>
    </xf>
    <xf numFmtId="0" fontId="2" fillId="5" borderId="3" xfId="0" applyFont="1" applyFill="1" applyBorder="1" applyAlignment="1">
      <alignment horizontal="center"/>
    </xf>
    <xf numFmtId="0" fontId="2" fillId="5" borderId="4" xfId="0" applyFont="1" applyFill="1" applyBorder="1" applyAlignment="1">
      <alignment horizontal="center"/>
    </xf>
    <xf numFmtId="0" fontId="2" fillId="13" borderId="2" xfId="0" applyFont="1" applyFill="1" applyBorder="1" applyAlignment="1">
      <alignment horizontal="center"/>
    </xf>
    <xf numFmtId="0" fontId="2" fillId="13" borderId="3" xfId="0" applyFont="1" applyFill="1" applyBorder="1" applyAlignment="1">
      <alignment horizontal="center"/>
    </xf>
    <xf numFmtId="0" fontId="2" fillId="13" borderId="4"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7" borderId="2" xfId="0" applyFont="1" applyFill="1" applyBorder="1" applyAlignment="1">
      <alignment horizontal="center" vertical="center"/>
    </xf>
    <xf numFmtId="0" fontId="2" fillId="7" borderId="3" xfId="0" applyFont="1" applyFill="1" applyBorder="1" applyAlignment="1">
      <alignment horizontal="center" vertical="center"/>
    </xf>
    <xf numFmtId="0" fontId="2" fillId="7" borderId="4" xfId="0" applyFont="1" applyFill="1" applyBorder="1" applyAlignment="1">
      <alignment horizontal="center" vertic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0" fillId="9" borderId="2" xfId="0" applyFill="1" applyBorder="1" applyAlignment="1">
      <alignment horizontal="center"/>
    </xf>
    <xf numFmtId="0" fontId="0" fillId="9" borderId="3" xfId="0" applyFill="1" applyBorder="1" applyAlignment="1">
      <alignment horizontal="center"/>
    </xf>
    <xf numFmtId="0" fontId="0" fillId="9" borderId="4" xfId="0" applyFill="1" applyBorder="1" applyAlignment="1">
      <alignment horizontal="center"/>
    </xf>
    <xf numFmtId="0" fontId="2" fillId="18" borderId="1" xfId="0" applyFont="1" applyFill="1" applyBorder="1" applyAlignment="1">
      <alignment horizontal="center"/>
    </xf>
    <xf numFmtId="0" fontId="2" fillId="10" borderId="1" xfId="0" applyFont="1" applyFill="1" applyBorder="1" applyAlignment="1">
      <alignment horizontal="center"/>
    </xf>
    <xf numFmtId="0" fontId="8" fillId="0" borderId="1" xfId="0" applyFont="1" applyBorder="1" applyAlignment="1">
      <alignment horizontal="center" vertical="center"/>
    </xf>
    <xf numFmtId="0" fontId="0" fillId="18" borderId="2" xfId="0" applyFill="1" applyBorder="1" applyAlignment="1">
      <alignment horizontal="center"/>
    </xf>
    <xf numFmtId="0" fontId="0" fillId="18" borderId="3" xfId="0" applyFill="1" applyBorder="1" applyAlignment="1">
      <alignment horizontal="center"/>
    </xf>
    <xf numFmtId="0" fontId="0" fillId="18" borderId="4" xfId="0" applyFill="1" applyBorder="1" applyAlignment="1">
      <alignment horizontal="center"/>
    </xf>
    <xf numFmtId="0" fontId="2" fillId="11" borderId="1" xfId="0" applyFont="1" applyFill="1" applyBorder="1" applyAlignment="1">
      <alignment horizontal="center"/>
    </xf>
    <xf numFmtId="0" fontId="1" fillId="0" borderId="7"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2" fillId="2" borderId="2" xfId="0" applyFont="1" applyFill="1" applyBorder="1" applyAlignment="1">
      <alignment horizontal="left" vertical="center"/>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2" borderId="2" xfId="0"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1" xfId="0" applyFont="1" applyFill="1" applyBorder="1" applyAlignment="1">
      <alignment horizontal="left" vertical="center"/>
    </xf>
    <xf numFmtId="0" fontId="0" fillId="2" borderId="1" xfId="0" applyFill="1" applyBorder="1" applyAlignment="1">
      <alignment horizontal="left" vertical="center"/>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0" fillId="23" borderId="2" xfId="0" applyFill="1" applyBorder="1" applyAlignment="1">
      <alignment horizontal="center"/>
    </xf>
    <xf numFmtId="0" fontId="0" fillId="23" borderId="3" xfId="0" applyFill="1" applyBorder="1" applyAlignment="1">
      <alignment horizontal="center"/>
    </xf>
    <xf numFmtId="0" fontId="0" fillId="23" borderId="4" xfId="0" applyFill="1" applyBorder="1" applyAlignment="1">
      <alignment horizontal="center"/>
    </xf>
    <xf numFmtId="0" fontId="2" fillId="24" borderId="2" xfId="0" applyFont="1" applyFill="1" applyBorder="1" applyAlignment="1">
      <alignment horizontal="left"/>
    </xf>
    <xf numFmtId="0" fontId="2" fillId="24" borderId="3" xfId="0" applyFont="1" applyFill="1" applyBorder="1" applyAlignment="1">
      <alignment horizontal="left"/>
    </xf>
    <xf numFmtId="0" fontId="2" fillId="24" borderId="4" xfId="0" applyFont="1" applyFill="1" applyBorder="1" applyAlignment="1">
      <alignment horizontal="left"/>
    </xf>
    <xf numFmtId="0" fontId="2" fillId="22" borderId="2" xfId="0" applyFont="1" applyFill="1" applyBorder="1" applyAlignment="1">
      <alignment horizontal="left"/>
    </xf>
    <xf numFmtId="0" fontId="2" fillId="22" borderId="3" xfId="0" applyFont="1" applyFill="1" applyBorder="1" applyAlignment="1">
      <alignment horizontal="left"/>
    </xf>
    <xf numFmtId="0" fontId="2" fillId="22" borderId="4" xfId="0" applyFont="1" applyFill="1" applyBorder="1" applyAlignment="1">
      <alignment horizontal="left"/>
    </xf>
    <xf numFmtId="0" fontId="2" fillId="20" borderId="2" xfId="0" applyFont="1" applyFill="1" applyBorder="1" applyAlignment="1">
      <alignment horizontal="left"/>
    </xf>
    <xf numFmtId="0" fontId="2" fillId="20" borderId="3" xfId="0" applyFont="1" applyFill="1" applyBorder="1" applyAlignment="1">
      <alignment horizontal="left"/>
    </xf>
    <xf numFmtId="0" fontId="2" fillId="20" borderId="4" xfId="0" applyFont="1" applyFill="1" applyBorder="1" applyAlignment="1">
      <alignment horizontal="left"/>
    </xf>
    <xf numFmtId="0" fontId="2" fillId="7" borderId="2" xfId="0" applyFont="1" applyFill="1" applyBorder="1" applyAlignment="1">
      <alignment horizontal="left" vertical="center"/>
    </xf>
    <xf numFmtId="0" fontId="2" fillId="7" borderId="3" xfId="0" applyFont="1" applyFill="1" applyBorder="1" applyAlignment="1">
      <alignment horizontal="left" vertical="center"/>
    </xf>
    <xf numFmtId="0" fontId="2" fillId="7" borderId="4" xfId="0" applyFont="1" applyFill="1" applyBorder="1" applyAlignment="1">
      <alignment horizontal="left" vertical="center"/>
    </xf>
    <xf numFmtId="0" fontId="2" fillId="21" borderId="2" xfId="0" applyFont="1" applyFill="1" applyBorder="1" applyAlignment="1">
      <alignment horizontal="left"/>
    </xf>
    <xf numFmtId="0" fontId="2" fillId="21" borderId="3" xfId="0" applyFont="1" applyFill="1" applyBorder="1" applyAlignment="1">
      <alignment horizontal="left"/>
    </xf>
    <xf numFmtId="0" fontId="2" fillId="21" borderId="4" xfId="0" applyFont="1" applyFill="1" applyBorder="1" applyAlignment="1">
      <alignment horizontal="left"/>
    </xf>
    <xf numFmtId="0" fontId="0" fillId="2" borderId="1" xfId="0" applyFill="1" applyBorder="1" applyAlignment="1">
      <alignment horizontal="center" vertical="center"/>
    </xf>
    <xf numFmtId="0" fontId="2" fillId="5" borderId="1" xfId="0" applyFont="1" applyFill="1" applyBorder="1" applyAlignment="1">
      <alignment horizontal="center"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1952625</xdr:colOff>
      <xdr:row>162</xdr:row>
      <xdr:rowOff>104775</xdr:rowOff>
    </xdr:from>
    <xdr:to>
      <xdr:col>7</xdr:col>
      <xdr:colOff>1219667</xdr:colOff>
      <xdr:row>171</xdr:row>
      <xdr:rowOff>66909</xdr:rowOff>
    </xdr:to>
    <xdr:pic>
      <xdr:nvPicPr>
        <xdr:cNvPr id="2" name="Picture 1">
          <a:extLst>
            <a:ext uri="{FF2B5EF4-FFF2-40B4-BE49-F238E27FC236}">
              <a16:creationId xmlns:a16="http://schemas.microsoft.com/office/drawing/2014/main" id="{40490DE5-6D28-2A57-A5BD-423932CA9CA5}"/>
            </a:ext>
          </a:extLst>
        </xdr:cNvPr>
        <xdr:cNvPicPr>
          <a:picLocks noChangeAspect="1"/>
        </xdr:cNvPicPr>
      </xdr:nvPicPr>
      <xdr:blipFill>
        <a:blip xmlns:r="http://schemas.openxmlformats.org/officeDocument/2006/relationships" r:embed="rId1"/>
        <a:stretch>
          <a:fillRect/>
        </a:stretch>
      </xdr:blipFill>
      <xdr:spPr>
        <a:xfrm>
          <a:off x="11239500" y="57569100"/>
          <a:ext cx="3343742" cy="16766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296957</xdr:colOff>
      <xdr:row>0</xdr:row>
      <xdr:rowOff>211791</xdr:rowOff>
    </xdr:from>
    <xdr:to>
      <xdr:col>18</xdr:col>
      <xdr:colOff>241272</xdr:colOff>
      <xdr:row>5</xdr:row>
      <xdr:rowOff>12186</xdr:rowOff>
    </xdr:to>
    <xdr:pic>
      <xdr:nvPicPr>
        <xdr:cNvPr id="2" name="Picture 1">
          <a:extLst>
            <a:ext uri="{FF2B5EF4-FFF2-40B4-BE49-F238E27FC236}">
              <a16:creationId xmlns:a16="http://schemas.microsoft.com/office/drawing/2014/main" id="{D98FACE3-FFD6-BB15-F635-E66AEA615C78}"/>
            </a:ext>
          </a:extLst>
        </xdr:cNvPr>
        <xdr:cNvPicPr>
          <a:picLocks noChangeAspect="1"/>
        </xdr:cNvPicPr>
      </xdr:nvPicPr>
      <xdr:blipFill>
        <a:blip xmlns:r="http://schemas.openxmlformats.org/officeDocument/2006/relationships" r:embed="rId1"/>
        <a:stretch>
          <a:fillRect/>
        </a:stretch>
      </xdr:blipFill>
      <xdr:spPr>
        <a:xfrm>
          <a:off x="14506016" y="211791"/>
          <a:ext cx="10477844" cy="300527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0B16C-E43F-44AE-B507-740324A57975}">
  <dimension ref="A1:H342"/>
  <sheetViews>
    <sheetView zoomScaleNormal="100" workbookViewId="0">
      <pane ySplit="1" topLeftCell="A182" activePane="bottomLeft" state="frozen"/>
      <selection pane="bottomLeft" activeCell="C222" sqref="C222"/>
    </sheetView>
  </sheetViews>
  <sheetFormatPr defaultRowHeight="15"/>
  <cols>
    <col min="1" max="1" width="11" style="23" customWidth="1"/>
    <col min="2" max="2" width="31.28515625" customWidth="1"/>
    <col min="3" max="3" width="21.5703125" customWidth="1"/>
    <col min="4" max="4" width="80.42578125" customWidth="1"/>
    <col min="5" max="5" width="42.85546875" customWidth="1"/>
    <col min="8" max="8" width="48.42578125" customWidth="1"/>
  </cols>
  <sheetData>
    <row r="1" spans="1:8" ht="30.75" customHeight="1">
      <c r="A1" s="3" t="s">
        <v>0</v>
      </c>
      <c r="B1" s="3" t="s">
        <v>1</v>
      </c>
      <c r="C1" s="3" t="s">
        <v>2</v>
      </c>
      <c r="D1" s="3" t="s">
        <v>3</v>
      </c>
      <c r="H1" t="s">
        <v>20</v>
      </c>
    </row>
    <row r="2" spans="1:8" ht="30.75" customHeight="1">
      <c r="A2" s="3"/>
      <c r="B2" s="6"/>
      <c r="C2" s="6"/>
      <c r="D2" s="6"/>
    </row>
    <row r="3" spans="1:8" ht="30.75" customHeight="1">
      <c r="A3" s="3"/>
      <c r="B3" s="6"/>
      <c r="C3" s="6"/>
      <c r="D3" s="6"/>
    </row>
    <row r="4" spans="1:8" ht="30.75" customHeight="1">
      <c r="A4" s="3"/>
      <c r="B4" s="6"/>
      <c r="C4" s="6"/>
      <c r="D4" s="6"/>
    </row>
    <row r="5" spans="1:8" ht="30.75" customHeight="1">
      <c r="A5" s="3"/>
      <c r="B5" s="6"/>
      <c r="C5" s="6"/>
      <c r="D5" s="6"/>
    </row>
    <row r="6" spans="1:8" s="78" customFormat="1" ht="30.75" customHeight="1">
      <c r="A6" s="77"/>
      <c r="B6" s="231" t="s">
        <v>602</v>
      </c>
      <c r="C6" s="232"/>
      <c r="D6" s="233"/>
    </row>
    <row r="7" spans="1:8" ht="30.75" customHeight="1">
      <c r="A7" s="3"/>
      <c r="B7" s="7" t="s">
        <v>597</v>
      </c>
      <c r="C7" s="7" t="s">
        <v>110</v>
      </c>
      <c r="D7" s="7" t="s">
        <v>598</v>
      </c>
    </row>
    <row r="8" spans="1:8" ht="30.75" customHeight="1">
      <c r="A8" s="3"/>
      <c r="B8" s="7" t="s">
        <v>111</v>
      </c>
      <c r="C8" s="7" t="s">
        <v>272</v>
      </c>
      <c r="D8" s="7" t="s">
        <v>599</v>
      </c>
    </row>
    <row r="9" spans="1:8" ht="30.75" customHeight="1">
      <c r="A9" s="3"/>
      <c r="B9" s="6" t="s">
        <v>600</v>
      </c>
      <c r="C9" s="6" t="s">
        <v>6</v>
      </c>
      <c r="D9" s="6" t="s">
        <v>601</v>
      </c>
    </row>
    <row r="10" spans="1:8" s="57" customFormat="1" ht="15.75" customHeight="1">
      <c r="A10" s="76"/>
      <c r="B10" s="61"/>
      <c r="C10" s="61"/>
      <c r="D10" s="61"/>
    </row>
    <row r="11" spans="1:8" s="81" customFormat="1" ht="41.25" customHeight="1">
      <c r="A11" s="79"/>
      <c r="B11" s="243" t="s">
        <v>603</v>
      </c>
      <c r="C11" s="232"/>
      <c r="D11" s="233"/>
      <c r="E11" s="80" t="s">
        <v>17</v>
      </c>
    </row>
    <row r="12" spans="1:8" ht="36.75" customHeight="1">
      <c r="A12" s="3"/>
      <c r="B12" s="6" t="s">
        <v>604</v>
      </c>
      <c r="C12" s="6" t="s">
        <v>272</v>
      </c>
      <c r="D12" s="5"/>
      <c r="E12" s="2"/>
    </row>
    <row r="13" spans="1:8" ht="36.75" customHeight="1">
      <c r="A13" s="3"/>
      <c r="B13" s="6"/>
      <c r="C13" s="6"/>
      <c r="D13" s="5"/>
      <c r="E13" s="2"/>
    </row>
    <row r="14" spans="1:8" s="86" customFormat="1" ht="26.25" customHeight="1">
      <c r="A14" s="82"/>
      <c r="B14" s="83"/>
      <c r="C14" s="83"/>
      <c r="D14" s="84"/>
      <c r="E14" s="85"/>
    </row>
    <row r="15" spans="1:8" ht="36.75" customHeight="1">
      <c r="A15" s="3"/>
      <c r="B15" s="6" t="s">
        <v>605</v>
      </c>
      <c r="C15" s="6" t="s">
        <v>272</v>
      </c>
      <c r="D15" s="11" t="s">
        <v>606</v>
      </c>
      <c r="E15" s="2"/>
    </row>
    <row r="16" spans="1:8" s="57" customFormat="1" ht="36.75" customHeight="1">
      <c r="A16" s="76"/>
      <c r="B16" s="61"/>
      <c r="C16" s="61"/>
      <c r="D16" s="89"/>
      <c r="E16" s="63"/>
    </row>
    <row r="17" spans="1:5" s="81" customFormat="1" ht="36.75" customHeight="1">
      <c r="A17" s="79"/>
      <c r="B17" s="243" t="s">
        <v>609</v>
      </c>
      <c r="C17" s="232"/>
      <c r="D17" s="233"/>
      <c r="E17" s="80"/>
    </row>
    <row r="18" spans="1:5" ht="36.75" customHeight="1">
      <c r="A18" s="3"/>
      <c r="B18" s="7" t="s">
        <v>30</v>
      </c>
      <c r="C18" s="7" t="s">
        <v>5</v>
      </c>
      <c r="D18" s="7" t="s">
        <v>31</v>
      </c>
      <c r="E18" s="2"/>
    </row>
    <row r="19" spans="1:5" ht="33.75" customHeight="1">
      <c r="A19" s="3"/>
      <c r="B19" s="7" t="s">
        <v>4</v>
      </c>
      <c r="C19" s="7" t="s">
        <v>5</v>
      </c>
      <c r="D19" s="7" t="s">
        <v>32</v>
      </c>
      <c r="E19" s="2"/>
    </row>
    <row r="20" spans="1:5" s="86" customFormat="1" ht="27" customHeight="1">
      <c r="A20" s="82"/>
      <c r="B20" s="83"/>
      <c r="C20" s="83"/>
      <c r="D20" s="84"/>
      <c r="E20" s="85"/>
    </row>
    <row r="21" spans="1:5" ht="36" customHeight="1">
      <c r="A21" s="3"/>
      <c r="B21" s="6"/>
      <c r="C21" s="6"/>
      <c r="D21" s="5"/>
      <c r="E21" s="2"/>
    </row>
    <row r="22" spans="1:5" s="49" customFormat="1" ht="54" customHeight="1">
      <c r="A22" s="48" t="s">
        <v>255</v>
      </c>
      <c r="B22" s="237" t="s">
        <v>8</v>
      </c>
      <c r="C22" s="238"/>
      <c r="D22" s="238"/>
    </row>
    <row r="23" spans="1:5" ht="36" customHeight="1">
      <c r="A23" s="168">
        <v>0</v>
      </c>
      <c r="B23" s="5" t="s">
        <v>7</v>
      </c>
      <c r="C23" s="6" t="s">
        <v>6</v>
      </c>
      <c r="D23" s="6" t="s">
        <v>13</v>
      </c>
    </row>
    <row r="24" spans="1:5" ht="24.75" customHeight="1">
      <c r="A24" s="169"/>
      <c r="B24" s="5" t="s">
        <v>207</v>
      </c>
      <c r="C24" s="6" t="s">
        <v>208</v>
      </c>
      <c r="D24" s="6" t="s">
        <v>178</v>
      </c>
    </row>
    <row r="25" spans="1:5" ht="24.75" customHeight="1">
      <c r="A25" s="3"/>
      <c r="B25" s="234" t="s">
        <v>234</v>
      </c>
      <c r="C25" s="235"/>
      <c r="D25" s="236"/>
    </row>
    <row r="26" spans="1:5" ht="210">
      <c r="A26" s="168">
        <v>1</v>
      </c>
      <c r="B26" s="4" t="s">
        <v>235</v>
      </c>
      <c r="C26" s="4" t="s">
        <v>5</v>
      </c>
      <c r="D26" s="10" t="s">
        <v>237</v>
      </c>
    </row>
    <row r="27" spans="1:5">
      <c r="A27" s="170"/>
      <c r="B27" s="7" t="s">
        <v>238</v>
      </c>
      <c r="C27" s="7" t="s">
        <v>5</v>
      </c>
      <c r="D27" s="7" t="s">
        <v>798</v>
      </c>
    </row>
    <row r="28" spans="1:5">
      <c r="A28" s="169"/>
      <c r="B28" s="7" t="s">
        <v>610</v>
      </c>
      <c r="C28" s="7" t="s">
        <v>276</v>
      </c>
      <c r="D28" s="7" t="s">
        <v>178</v>
      </c>
    </row>
    <row r="29" spans="1:5">
      <c r="A29" s="168">
        <v>2</v>
      </c>
      <c r="B29" s="7" t="s">
        <v>240</v>
      </c>
      <c r="C29" s="7" t="s">
        <v>5</v>
      </c>
      <c r="D29" s="7"/>
    </row>
    <row r="30" spans="1:5">
      <c r="A30" s="169"/>
      <c r="B30" s="7" t="s">
        <v>251</v>
      </c>
      <c r="C30" s="7" t="s">
        <v>5</v>
      </c>
      <c r="D30" s="9"/>
    </row>
    <row r="31" spans="1:5">
      <c r="A31" s="168">
        <v>3</v>
      </c>
      <c r="B31" s="7" t="s">
        <v>243</v>
      </c>
      <c r="C31" s="7" t="s">
        <v>5</v>
      </c>
    </row>
    <row r="32" spans="1:5">
      <c r="A32" s="169"/>
      <c r="B32" s="7" t="s">
        <v>250</v>
      </c>
      <c r="C32" s="7" t="s">
        <v>5</v>
      </c>
      <c r="D32" s="6" t="s">
        <v>1222</v>
      </c>
    </row>
    <row r="33" spans="1:5">
      <c r="A33" s="168">
        <v>4</v>
      </c>
      <c r="B33" s="7" t="s">
        <v>244</v>
      </c>
      <c r="C33" s="7" t="s">
        <v>5</v>
      </c>
      <c r="D33" s="7" t="s">
        <v>1223</v>
      </c>
    </row>
    <row r="34" spans="1:5">
      <c r="A34" s="169"/>
      <c r="B34" s="7" t="s">
        <v>245</v>
      </c>
      <c r="C34" s="7" t="s">
        <v>5</v>
      </c>
      <c r="D34" s="9"/>
    </row>
    <row r="35" spans="1:5">
      <c r="A35" s="168">
        <v>5</v>
      </c>
      <c r="B35" s="7" t="s">
        <v>236</v>
      </c>
      <c r="C35" s="7" t="s">
        <v>6</v>
      </c>
      <c r="D35" s="7" t="s">
        <v>797</v>
      </c>
    </row>
    <row r="36" spans="1:5">
      <c r="A36" s="170"/>
      <c r="B36" s="7" t="s">
        <v>239</v>
      </c>
      <c r="C36" s="7" t="s">
        <v>6</v>
      </c>
      <c r="D36" s="7"/>
    </row>
    <row r="37" spans="1:5">
      <c r="A37" s="170"/>
      <c r="B37" s="7" t="s">
        <v>241</v>
      </c>
      <c r="C37" s="7" t="s">
        <v>6</v>
      </c>
      <c r="D37" s="7" t="s">
        <v>824</v>
      </c>
    </row>
    <row r="38" spans="1:5">
      <c r="A38" s="169"/>
      <c r="B38" s="7" t="s">
        <v>242</v>
      </c>
      <c r="C38" s="7" t="s">
        <v>6</v>
      </c>
      <c r="D38" s="7"/>
      <c r="E38" t="s">
        <v>910</v>
      </c>
    </row>
    <row r="39" spans="1:5">
      <c r="A39" s="168">
        <v>6</v>
      </c>
      <c r="B39" s="7" t="s">
        <v>246</v>
      </c>
      <c r="C39" s="7" t="s">
        <v>6</v>
      </c>
      <c r="D39" s="7"/>
    </row>
    <row r="40" spans="1:5" ht="30">
      <c r="A40" s="170"/>
      <c r="B40" s="4" t="s">
        <v>247</v>
      </c>
      <c r="C40" s="4" t="s">
        <v>6</v>
      </c>
      <c r="D40" s="10" t="s">
        <v>254</v>
      </c>
    </row>
    <row r="41" spans="1:5" ht="30">
      <c r="A41" s="170"/>
      <c r="B41" s="7" t="s">
        <v>248</v>
      </c>
      <c r="C41" s="7" t="s">
        <v>6</v>
      </c>
      <c r="D41" s="9" t="s">
        <v>253</v>
      </c>
    </row>
    <row r="42" spans="1:5">
      <c r="A42" s="169"/>
      <c r="B42" s="7" t="s">
        <v>249</v>
      </c>
      <c r="C42" s="7" t="s">
        <v>6</v>
      </c>
      <c r="D42" s="9" t="s">
        <v>252</v>
      </c>
      <c r="E42" t="s">
        <v>909</v>
      </c>
    </row>
    <row r="43" spans="1:5">
      <c r="A43" s="3"/>
      <c r="B43" s="215" t="s">
        <v>584</v>
      </c>
      <c r="C43" s="216"/>
      <c r="D43" s="217"/>
    </row>
    <row r="44" spans="1:5" s="57" customFormat="1">
      <c r="A44" s="76"/>
      <c r="B44" s="53"/>
      <c r="C44" s="53"/>
      <c r="D44" s="67"/>
    </row>
    <row r="45" spans="1:5" s="49" customFormat="1" ht="44.25" customHeight="1">
      <c r="A45" s="48" t="s">
        <v>206</v>
      </c>
      <c r="B45" s="239" t="s">
        <v>926</v>
      </c>
      <c r="C45" s="240"/>
      <c r="D45" s="241"/>
      <c r="E45" s="51" t="s">
        <v>22</v>
      </c>
    </row>
    <row r="46" spans="1:5">
      <c r="A46" s="168">
        <v>0</v>
      </c>
      <c r="B46" s="7" t="s">
        <v>7</v>
      </c>
      <c r="C46" s="7" t="s">
        <v>6</v>
      </c>
      <c r="D46" s="7" t="s">
        <v>14</v>
      </c>
    </row>
    <row r="47" spans="1:5">
      <c r="A47" s="169"/>
      <c r="B47" s="7" t="s">
        <v>580</v>
      </c>
      <c r="C47" s="7" t="s">
        <v>276</v>
      </c>
      <c r="D47" s="7"/>
    </row>
    <row r="48" spans="1:5">
      <c r="A48" s="3"/>
      <c r="B48" s="215" t="s">
        <v>581</v>
      </c>
      <c r="C48" s="216"/>
      <c r="D48" s="217"/>
    </row>
    <row r="49" spans="1:4">
      <c r="A49" s="168">
        <v>1</v>
      </c>
      <c r="B49" s="7" t="s">
        <v>9</v>
      </c>
      <c r="C49" s="7" t="s">
        <v>5</v>
      </c>
      <c r="D49" s="7"/>
    </row>
    <row r="50" spans="1:4">
      <c r="A50" s="169"/>
      <c r="B50" s="7" t="s">
        <v>195</v>
      </c>
      <c r="C50" s="7" t="s">
        <v>5</v>
      </c>
      <c r="D50" s="7"/>
    </row>
    <row r="51" spans="1:4">
      <c r="A51" s="168">
        <v>2</v>
      </c>
      <c r="B51" s="7" t="s">
        <v>196</v>
      </c>
      <c r="C51" s="7" t="s">
        <v>5</v>
      </c>
      <c r="D51" s="7"/>
    </row>
    <row r="52" spans="1:4">
      <c r="A52" s="170"/>
      <c r="B52" s="7" t="s">
        <v>197</v>
      </c>
      <c r="C52" s="7" t="s">
        <v>6</v>
      </c>
      <c r="D52" s="7" t="s">
        <v>198</v>
      </c>
    </row>
    <row r="53" spans="1:4">
      <c r="A53" s="169"/>
      <c r="B53" s="7" t="s">
        <v>610</v>
      </c>
      <c r="C53" s="7" t="s">
        <v>276</v>
      </c>
      <c r="D53" s="7"/>
    </row>
    <row r="54" spans="1:4">
      <c r="A54" s="3"/>
      <c r="B54" s="215" t="s">
        <v>181</v>
      </c>
      <c r="C54" s="216"/>
      <c r="D54" s="217"/>
    </row>
    <row r="55" spans="1:4">
      <c r="A55" s="244" t="s">
        <v>611</v>
      </c>
      <c r="B55" s="34" t="s">
        <v>182</v>
      </c>
      <c r="C55" s="7" t="s">
        <v>194</v>
      </c>
      <c r="D55" s="7"/>
    </row>
    <row r="56" spans="1:4">
      <c r="A56" s="170"/>
      <c r="B56" s="32" t="s">
        <v>183</v>
      </c>
      <c r="C56" s="7" t="s">
        <v>6</v>
      </c>
      <c r="D56" s="7"/>
    </row>
    <row r="57" spans="1:4">
      <c r="A57" s="169"/>
      <c r="B57" s="32" t="s">
        <v>185</v>
      </c>
      <c r="C57" s="7" t="s">
        <v>6</v>
      </c>
      <c r="D57" s="7"/>
    </row>
    <row r="58" spans="1:4">
      <c r="A58" s="168">
        <v>4</v>
      </c>
      <c r="B58" s="32" t="s">
        <v>184</v>
      </c>
      <c r="C58" s="7" t="s">
        <v>5</v>
      </c>
      <c r="D58" s="7"/>
    </row>
    <row r="59" spans="1:4" ht="30">
      <c r="A59" s="170"/>
      <c r="B59" s="32" t="s">
        <v>186</v>
      </c>
      <c r="C59" s="7" t="s">
        <v>6</v>
      </c>
      <c r="D59" s="15" t="s">
        <v>614</v>
      </c>
    </row>
    <row r="60" spans="1:4">
      <c r="A60" s="169"/>
      <c r="B60" s="32" t="s">
        <v>187</v>
      </c>
      <c r="C60" s="7" t="s">
        <v>6</v>
      </c>
      <c r="D60" s="7"/>
    </row>
    <row r="61" spans="1:4">
      <c r="A61" s="168">
        <v>5</v>
      </c>
      <c r="B61" s="32" t="s">
        <v>188</v>
      </c>
      <c r="C61" s="7" t="s">
        <v>6</v>
      </c>
      <c r="D61" s="7"/>
    </row>
    <row r="62" spans="1:4">
      <c r="A62" s="170"/>
      <c r="B62" s="32" t="s">
        <v>189</v>
      </c>
      <c r="C62" s="7" t="s">
        <v>6</v>
      </c>
      <c r="D62" s="7"/>
    </row>
    <row r="63" spans="1:4">
      <c r="A63" s="170"/>
      <c r="B63" s="32" t="s">
        <v>190</v>
      </c>
      <c r="C63" s="7" t="s">
        <v>6</v>
      </c>
      <c r="D63" s="7"/>
    </row>
    <row r="64" spans="1:4">
      <c r="A64" s="169"/>
      <c r="B64" s="32" t="s">
        <v>191</v>
      </c>
      <c r="C64" s="7" t="s">
        <v>6</v>
      </c>
      <c r="D64" s="7"/>
    </row>
    <row r="65" spans="1:4">
      <c r="A65" s="168">
        <v>7</v>
      </c>
      <c r="B65" s="32" t="s">
        <v>192</v>
      </c>
      <c r="C65" s="7" t="s">
        <v>5</v>
      </c>
      <c r="D65" s="7"/>
    </row>
    <row r="66" spans="1:4">
      <c r="A66" s="170"/>
      <c r="B66" s="32" t="s">
        <v>193</v>
      </c>
      <c r="C66" s="7" t="s">
        <v>5</v>
      </c>
      <c r="D66" s="7"/>
    </row>
    <row r="67" spans="1:4">
      <c r="A67" s="3"/>
      <c r="B67" s="215" t="s">
        <v>582</v>
      </c>
      <c r="C67" s="216"/>
      <c r="D67" s="217"/>
    </row>
    <row r="68" spans="1:4">
      <c r="A68" s="168">
        <v>8</v>
      </c>
      <c r="B68" s="7" t="s">
        <v>199</v>
      </c>
      <c r="C68" s="7" t="s">
        <v>6</v>
      </c>
      <c r="D68" s="7"/>
    </row>
    <row r="69" spans="1:4">
      <c r="A69" s="170"/>
      <c r="B69" s="7" t="s">
        <v>200</v>
      </c>
      <c r="C69" s="7" t="s">
        <v>201</v>
      </c>
      <c r="D69" s="7" t="s">
        <v>202</v>
      </c>
    </row>
    <row r="70" spans="1:4" ht="30">
      <c r="A70" s="169"/>
      <c r="B70" s="7" t="s">
        <v>203</v>
      </c>
      <c r="C70" s="7" t="s">
        <v>6</v>
      </c>
      <c r="D70" s="9" t="s">
        <v>204</v>
      </c>
    </row>
    <row r="71" spans="1:4">
      <c r="A71" s="244" t="s">
        <v>612</v>
      </c>
      <c r="B71" s="7" t="s">
        <v>205</v>
      </c>
      <c r="C71" s="7" t="s">
        <v>6</v>
      </c>
      <c r="D71" s="7" t="s">
        <v>178</v>
      </c>
    </row>
    <row r="72" spans="1:4" ht="105">
      <c r="A72" s="169"/>
      <c r="B72" s="4" t="s">
        <v>10</v>
      </c>
      <c r="C72" s="4" t="s">
        <v>11</v>
      </c>
      <c r="D72" s="10" t="s">
        <v>12</v>
      </c>
    </row>
    <row r="73" spans="1:4">
      <c r="A73" s="3"/>
      <c r="B73" s="206" t="s">
        <v>583</v>
      </c>
      <c r="C73" s="207"/>
      <c r="D73" s="208"/>
    </row>
    <row r="74" spans="1:4" s="57" customFormat="1">
      <c r="A74" s="76"/>
      <c r="B74" s="64"/>
      <c r="C74" s="65"/>
      <c r="D74" s="66"/>
    </row>
    <row r="75" spans="1:4" s="52" customFormat="1" ht="30.75" customHeight="1">
      <c r="A75" s="48" t="s">
        <v>206</v>
      </c>
      <c r="B75" s="242" t="s">
        <v>921</v>
      </c>
      <c r="C75" s="226"/>
      <c r="D75" s="227"/>
    </row>
    <row r="76" spans="1:4" s="2" customFormat="1">
      <c r="A76" s="168">
        <v>0</v>
      </c>
      <c r="B76" s="7" t="s">
        <v>7</v>
      </c>
      <c r="C76" s="7" t="s">
        <v>6</v>
      </c>
      <c r="D76" s="7" t="s">
        <v>924</v>
      </c>
    </row>
    <row r="77" spans="1:4" s="2" customFormat="1">
      <c r="A77" s="169"/>
      <c r="B77" s="7" t="s">
        <v>207</v>
      </c>
      <c r="C77" s="7" t="s">
        <v>208</v>
      </c>
      <c r="D77" s="7" t="s">
        <v>178</v>
      </c>
    </row>
    <row r="78" spans="1:4" s="2" customFormat="1">
      <c r="A78" s="3"/>
      <c r="B78" s="215" t="s">
        <v>233</v>
      </c>
      <c r="C78" s="216"/>
      <c r="D78" s="217"/>
    </row>
    <row r="79" spans="1:4" s="2" customFormat="1">
      <c r="A79" s="3">
        <v>1</v>
      </c>
      <c r="B79" s="6" t="s">
        <v>505</v>
      </c>
      <c r="C79" s="6" t="s">
        <v>272</v>
      </c>
      <c r="D79" s="6"/>
    </row>
    <row r="80" spans="1:4">
      <c r="A80" s="168">
        <v>2</v>
      </c>
      <c r="B80" s="7" t="s">
        <v>484</v>
      </c>
      <c r="C80" s="7" t="s">
        <v>5</v>
      </c>
      <c r="D80" s="7"/>
    </row>
    <row r="81" spans="1:4" s="2" customFormat="1">
      <c r="A81" s="169"/>
      <c r="B81" s="7" t="s">
        <v>256</v>
      </c>
      <c r="C81" s="7" t="s">
        <v>5</v>
      </c>
      <c r="D81" s="7" t="s">
        <v>1223</v>
      </c>
    </row>
    <row r="82" spans="1:4" s="2" customFormat="1">
      <c r="A82" s="168">
        <v>3</v>
      </c>
      <c r="B82" s="7" t="s">
        <v>257</v>
      </c>
      <c r="C82" s="7" t="s">
        <v>5</v>
      </c>
      <c r="D82" s="6" t="s">
        <v>1222</v>
      </c>
    </row>
    <row r="83" spans="1:4" s="2" customFormat="1">
      <c r="A83" s="169"/>
      <c r="B83" s="6" t="s">
        <v>486</v>
      </c>
      <c r="C83" s="6" t="s">
        <v>5</v>
      </c>
      <c r="D83" s="6"/>
    </row>
    <row r="84" spans="1:4" s="2" customFormat="1">
      <c r="A84" s="168">
        <v>4</v>
      </c>
      <c r="B84" s="6" t="s">
        <v>491</v>
      </c>
      <c r="C84" s="6" t="s">
        <v>5</v>
      </c>
      <c r="D84" s="5"/>
    </row>
    <row r="85" spans="1:4" s="2" customFormat="1">
      <c r="A85" s="169"/>
      <c r="B85" s="6" t="s">
        <v>488</v>
      </c>
      <c r="C85" s="6" t="s">
        <v>5</v>
      </c>
      <c r="D85" s="6" t="s">
        <v>489</v>
      </c>
    </row>
    <row r="86" spans="1:4" s="2" customFormat="1">
      <c r="A86" s="168">
        <v>5</v>
      </c>
      <c r="B86" s="6" t="s">
        <v>498</v>
      </c>
      <c r="C86" s="6" t="s">
        <v>5</v>
      </c>
      <c r="D86" s="5"/>
    </row>
    <row r="87" spans="1:4" s="2" customFormat="1">
      <c r="A87" s="169"/>
      <c r="B87" s="6" t="s">
        <v>499</v>
      </c>
      <c r="C87" s="6" t="s">
        <v>5</v>
      </c>
      <c r="D87" s="6"/>
    </row>
    <row r="88" spans="1:4" s="2" customFormat="1">
      <c r="A88" s="168">
        <v>6</v>
      </c>
      <c r="B88" s="6" t="s">
        <v>502</v>
      </c>
      <c r="C88" s="6" t="s">
        <v>5</v>
      </c>
      <c r="D88" s="5" t="s">
        <v>922</v>
      </c>
    </row>
    <row r="89" spans="1:4" s="2" customFormat="1">
      <c r="A89" s="169"/>
      <c r="B89" s="6" t="s">
        <v>503</v>
      </c>
      <c r="C89" s="6" t="s">
        <v>5</v>
      </c>
      <c r="D89" s="5" t="s">
        <v>923</v>
      </c>
    </row>
    <row r="90" spans="1:4">
      <c r="A90" s="245">
        <v>7</v>
      </c>
      <c r="B90" s="7" t="s">
        <v>197</v>
      </c>
      <c r="C90" s="7" t="s">
        <v>276</v>
      </c>
      <c r="D90" s="9"/>
    </row>
    <row r="91" spans="1:4" s="2" customFormat="1">
      <c r="A91" s="245"/>
      <c r="B91" s="6" t="s">
        <v>258</v>
      </c>
      <c r="C91" s="6" t="s">
        <v>276</v>
      </c>
      <c r="D91" s="6"/>
    </row>
    <row r="92" spans="1:4" s="2" customFormat="1">
      <c r="A92" s="245"/>
      <c r="B92" s="6" t="s">
        <v>756</v>
      </c>
      <c r="C92" s="6" t="s">
        <v>5</v>
      </c>
      <c r="D92" s="6"/>
    </row>
    <row r="93" spans="1:4" s="2" customFormat="1">
      <c r="A93" s="245">
        <v>8</v>
      </c>
      <c r="B93" s="6" t="s">
        <v>259</v>
      </c>
      <c r="C93" s="6" t="s">
        <v>276</v>
      </c>
      <c r="D93" s="6"/>
    </row>
    <row r="94" spans="1:4" s="2" customFormat="1">
      <c r="A94" s="245"/>
      <c r="B94" s="6" t="s">
        <v>485</v>
      </c>
      <c r="C94" s="6" t="s">
        <v>276</v>
      </c>
      <c r="D94" s="6"/>
    </row>
    <row r="95" spans="1:4" s="2" customFormat="1">
      <c r="A95" s="245"/>
      <c r="B95" s="6" t="s">
        <v>487</v>
      </c>
      <c r="C95" s="6" t="s">
        <v>276</v>
      </c>
      <c r="D95" s="6"/>
    </row>
    <row r="96" spans="1:4" s="2" customFormat="1">
      <c r="A96" s="245"/>
      <c r="B96" s="6" t="s">
        <v>490</v>
      </c>
      <c r="C96" s="6" t="s">
        <v>276</v>
      </c>
      <c r="D96" s="6"/>
    </row>
    <row r="97" spans="1:4" s="2" customFormat="1">
      <c r="A97" s="245">
        <v>9</v>
      </c>
      <c r="B97" s="6" t="s">
        <v>492</v>
      </c>
      <c r="C97" s="6" t="s">
        <v>276</v>
      </c>
      <c r="D97" s="11"/>
    </row>
    <row r="98" spans="1:4" s="2" customFormat="1" ht="20.25" customHeight="1">
      <c r="A98" s="245"/>
      <c r="B98" s="6" t="s">
        <v>493</v>
      </c>
      <c r="C98" s="4" t="s">
        <v>276</v>
      </c>
      <c r="D98" s="10"/>
    </row>
    <row r="99" spans="1:4" s="2" customFormat="1">
      <c r="A99" s="245"/>
      <c r="B99" s="7" t="s">
        <v>494</v>
      </c>
      <c r="C99" s="7" t="s">
        <v>5</v>
      </c>
      <c r="D99" s="7"/>
    </row>
    <row r="100" spans="1:4" s="2" customFormat="1">
      <c r="A100" s="168">
        <v>10</v>
      </c>
      <c r="B100" s="7" t="s">
        <v>495</v>
      </c>
      <c r="C100" s="7" t="s">
        <v>276</v>
      </c>
      <c r="D100" s="7"/>
    </row>
    <row r="101" spans="1:4" s="2" customFormat="1">
      <c r="A101" s="170"/>
      <c r="B101" s="6" t="s">
        <v>500</v>
      </c>
      <c r="C101" s="6" t="s">
        <v>276</v>
      </c>
      <c r="D101" s="6"/>
    </row>
    <row r="102" spans="1:4" s="2" customFormat="1">
      <c r="A102" s="169"/>
      <c r="B102" s="6" t="s">
        <v>623</v>
      </c>
      <c r="C102" s="6" t="s">
        <v>627</v>
      </c>
      <c r="D102" s="6" t="s">
        <v>178</v>
      </c>
    </row>
    <row r="103" spans="1:4" s="2" customFormat="1">
      <c r="A103" s="88" t="s">
        <v>757</v>
      </c>
      <c r="B103" s="6" t="s">
        <v>496</v>
      </c>
      <c r="C103" s="6" t="s">
        <v>497</v>
      </c>
      <c r="D103" s="6"/>
    </row>
    <row r="104" spans="1:4" s="2" customFormat="1">
      <c r="A104" s="168">
        <v>20</v>
      </c>
      <c r="B104" s="6" t="s">
        <v>501</v>
      </c>
      <c r="C104" s="6" t="s">
        <v>276</v>
      </c>
      <c r="D104" s="5"/>
    </row>
    <row r="105" spans="1:4" s="2" customFormat="1">
      <c r="A105" s="170"/>
      <c r="B105" s="6" t="s">
        <v>504</v>
      </c>
      <c r="C105" s="6" t="s">
        <v>276</v>
      </c>
      <c r="D105" s="6"/>
    </row>
    <row r="106" spans="1:4" s="2" customFormat="1">
      <c r="A106" s="170"/>
      <c r="B106" s="6" t="s">
        <v>507</v>
      </c>
      <c r="C106" s="6" t="s">
        <v>276</v>
      </c>
      <c r="D106" s="6"/>
    </row>
    <row r="107" spans="1:4" s="2" customFormat="1">
      <c r="A107" s="169"/>
      <c r="B107" s="6" t="s">
        <v>506</v>
      </c>
      <c r="C107" s="6" t="s">
        <v>276</v>
      </c>
      <c r="D107" s="6"/>
    </row>
    <row r="108" spans="1:4" s="2" customFormat="1" ht="30">
      <c r="A108" s="168">
        <v>21</v>
      </c>
      <c r="B108" s="6" t="s">
        <v>508</v>
      </c>
      <c r="C108" s="6" t="s">
        <v>276</v>
      </c>
      <c r="D108" s="11" t="s">
        <v>925</v>
      </c>
    </row>
    <row r="109" spans="1:4" s="2" customFormat="1">
      <c r="A109" s="170"/>
      <c r="B109" s="6" t="s">
        <v>510</v>
      </c>
      <c r="C109" s="6" t="s">
        <v>276</v>
      </c>
      <c r="D109" s="6" t="s">
        <v>509</v>
      </c>
    </row>
    <row r="110" spans="1:4" s="2" customFormat="1">
      <c r="A110" s="170"/>
      <c r="B110" s="6" t="s">
        <v>511</v>
      </c>
      <c r="C110" s="6" t="s">
        <v>276</v>
      </c>
      <c r="D110" s="6"/>
    </row>
    <row r="111" spans="1:4" s="2" customFormat="1">
      <c r="A111" s="169"/>
      <c r="B111" s="6" t="s">
        <v>512</v>
      </c>
      <c r="C111" s="6" t="s">
        <v>276</v>
      </c>
      <c r="D111" s="6"/>
    </row>
    <row r="112" spans="1:4" s="2" customFormat="1">
      <c r="A112" s="3"/>
      <c r="B112" s="206" t="s">
        <v>513</v>
      </c>
      <c r="C112" s="207"/>
      <c r="D112" s="208"/>
    </row>
    <row r="113" spans="1:5" s="63" customFormat="1">
      <c r="A113" s="76"/>
      <c r="B113" s="62"/>
      <c r="C113" s="62"/>
      <c r="D113" s="62"/>
    </row>
    <row r="114" spans="1:5" s="52" customFormat="1" ht="48.75" customHeight="1">
      <c r="A114" s="48"/>
      <c r="B114" s="242" t="s">
        <v>112</v>
      </c>
      <c r="C114" s="226"/>
      <c r="D114" s="227"/>
    </row>
    <row r="115" spans="1:5" s="2" customFormat="1">
      <c r="A115" s="168">
        <v>0</v>
      </c>
      <c r="B115" s="7" t="s">
        <v>7</v>
      </c>
      <c r="C115" s="7" t="s">
        <v>6</v>
      </c>
      <c r="D115" s="7" t="s">
        <v>18</v>
      </c>
    </row>
    <row r="116" spans="1:5" s="73" customFormat="1">
      <c r="A116" s="169"/>
      <c r="B116" s="74" t="s">
        <v>294</v>
      </c>
      <c r="C116" s="74" t="s">
        <v>514</v>
      </c>
      <c r="D116" s="75"/>
    </row>
    <row r="117" spans="1:5" s="2" customFormat="1">
      <c r="A117" s="3"/>
      <c r="B117" s="215" t="s">
        <v>515</v>
      </c>
      <c r="C117" s="216"/>
      <c r="D117" s="217"/>
    </row>
    <row r="118" spans="1:5" s="2" customFormat="1">
      <c r="A118" s="3">
        <v>1</v>
      </c>
      <c r="B118" s="7" t="s">
        <v>549</v>
      </c>
      <c r="C118" s="7" t="s">
        <v>110</v>
      </c>
      <c r="D118" s="7" t="s">
        <v>550</v>
      </c>
    </row>
    <row r="119" spans="1:5" s="2" customFormat="1">
      <c r="A119" s="168">
        <v>2</v>
      </c>
      <c r="B119" s="7" t="s">
        <v>9</v>
      </c>
      <c r="C119" s="7" t="s">
        <v>279</v>
      </c>
      <c r="D119" s="7"/>
      <c r="E119" s="2">
        <v>2</v>
      </c>
    </row>
    <row r="120" spans="1:5" s="2" customFormat="1">
      <c r="A120" s="169"/>
      <c r="B120" s="7" t="s">
        <v>516</v>
      </c>
      <c r="C120" s="7" t="s">
        <v>279</v>
      </c>
      <c r="D120" s="7" t="s">
        <v>1223</v>
      </c>
      <c r="E120" s="2">
        <v>3</v>
      </c>
    </row>
    <row r="121" spans="1:5" s="2" customFormat="1">
      <c r="A121" s="168">
        <v>3</v>
      </c>
      <c r="B121" s="6" t="s">
        <v>517</v>
      </c>
      <c r="C121" s="6" t="s">
        <v>279</v>
      </c>
      <c r="D121" s="6" t="s">
        <v>1222</v>
      </c>
      <c r="E121" s="2">
        <v>3</v>
      </c>
    </row>
    <row r="122" spans="1:5" s="2" customFormat="1">
      <c r="A122" s="169"/>
      <c r="B122" s="7" t="s">
        <v>523</v>
      </c>
      <c r="C122" s="7" t="s">
        <v>279</v>
      </c>
      <c r="D122" s="7"/>
    </row>
    <row r="123" spans="1:5" s="2" customFormat="1">
      <c r="A123" s="168">
        <v>4</v>
      </c>
      <c r="B123" s="7" t="s">
        <v>521</v>
      </c>
      <c r="C123" s="7" t="s">
        <v>279</v>
      </c>
      <c r="D123" s="9"/>
    </row>
    <row r="124" spans="1:5" s="2" customFormat="1">
      <c r="A124" s="169"/>
      <c r="B124" s="7" t="s">
        <v>522</v>
      </c>
      <c r="C124" s="7" t="s">
        <v>279</v>
      </c>
      <c r="D124" s="8"/>
    </row>
    <row r="125" spans="1:5" s="2" customFormat="1">
      <c r="A125" s="168">
        <v>5</v>
      </c>
      <c r="B125" s="7" t="s">
        <v>528</v>
      </c>
      <c r="C125" s="7" t="s">
        <v>279</v>
      </c>
      <c r="D125" s="7"/>
    </row>
    <row r="126" spans="1:5" s="2" customFormat="1">
      <c r="A126" s="169"/>
      <c r="B126" s="7" t="s">
        <v>530</v>
      </c>
      <c r="C126" s="7" t="s">
        <v>279</v>
      </c>
      <c r="D126" s="7"/>
    </row>
    <row r="127" spans="1:5" s="2" customFormat="1">
      <c r="A127" s="168">
        <v>6</v>
      </c>
      <c r="B127" s="7" t="s">
        <v>531</v>
      </c>
      <c r="C127" s="7" t="s">
        <v>279</v>
      </c>
      <c r="D127" s="7"/>
    </row>
    <row r="128" spans="1:5" s="2" customFormat="1">
      <c r="A128" s="169"/>
      <c r="B128" s="7" t="s">
        <v>545</v>
      </c>
      <c r="C128" s="7" t="s">
        <v>279</v>
      </c>
      <c r="D128" s="7" t="s">
        <v>546</v>
      </c>
    </row>
    <row r="129" spans="1:5" s="2" customFormat="1">
      <c r="A129" s="168">
        <v>7</v>
      </c>
      <c r="B129" s="7" t="s">
        <v>547</v>
      </c>
      <c r="C129" s="7" t="s">
        <v>279</v>
      </c>
      <c r="D129" s="7" t="s">
        <v>548</v>
      </c>
    </row>
    <row r="130" spans="1:5" s="2" customFormat="1">
      <c r="A130" s="169"/>
      <c r="B130" s="7" t="s">
        <v>543</v>
      </c>
      <c r="C130" s="7" t="s">
        <v>279</v>
      </c>
      <c r="D130" s="7" t="s">
        <v>178</v>
      </c>
    </row>
    <row r="131" spans="1:5" s="2" customFormat="1">
      <c r="A131" s="168">
        <v>8</v>
      </c>
      <c r="B131" s="7" t="s">
        <v>518</v>
      </c>
      <c r="C131" s="7" t="s">
        <v>276</v>
      </c>
      <c r="D131" s="9"/>
      <c r="E131" s="2">
        <v>1</v>
      </c>
    </row>
    <row r="132" spans="1:5" s="2" customFormat="1">
      <c r="A132" s="170"/>
      <c r="B132" s="7" t="s">
        <v>519</v>
      </c>
      <c r="C132" s="7" t="s">
        <v>276</v>
      </c>
      <c r="D132" s="9"/>
      <c r="E132" s="2">
        <v>1</v>
      </c>
    </row>
    <row r="133" spans="1:5" s="2" customFormat="1">
      <c r="A133" s="170"/>
      <c r="B133" s="7" t="s">
        <v>520</v>
      </c>
      <c r="C133" s="7" t="s">
        <v>276</v>
      </c>
      <c r="D133" s="9"/>
      <c r="E133" s="2">
        <v>1</v>
      </c>
    </row>
    <row r="134" spans="1:5">
      <c r="A134" s="169"/>
      <c r="B134" s="7" t="s">
        <v>524</v>
      </c>
      <c r="C134" s="7" t="s">
        <v>276</v>
      </c>
      <c r="D134" s="7" t="s">
        <v>525</v>
      </c>
      <c r="E134" s="2">
        <v>1</v>
      </c>
    </row>
    <row r="135" spans="1:5">
      <c r="A135" s="168">
        <v>9</v>
      </c>
      <c r="B135" s="7" t="s">
        <v>526</v>
      </c>
      <c r="C135" s="7" t="s">
        <v>276</v>
      </c>
      <c r="D135" s="7"/>
      <c r="E135" s="2">
        <v>1</v>
      </c>
    </row>
    <row r="136" spans="1:5">
      <c r="A136" s="170"/>
      <c r="B136" s="7" t="s">
        <v>527</v>
      </c>
      <c r="C136" s="7" t="s">
        <v>276</v>
      </c>
      <c r="D136" s="7"/>
      <c r="E136" s="2">
        <v>1</v>
      </c>
    </row>
    <row r="137" spans="1:5">
      <c r="A137" s="170"/>
      <c r="B137" s="7" t="s">
        <v>529</v>
      </c>
      <c r="C137" s="7" t="s">
        <v>276</v>
      </c>
      <c r="D137" s="7"/>
      <c r="E137" s="2">
        <v>1</v>
      </c>
    </row>
    <row r="138" spans="1:5">
      <c r="A138" s="169"/>
      <c r="B138" s="7" t="s">
        <v>539</v>
      </c>
      <c r="C138" s="7" t="s">
        <v>276</v>
      </c>
      <c r="D138" s="7" t="s">
        <v>540</v>
      </c>
      <c r="E138" s="2">
        <v>1</v>
      </c>
    </row>
    <row r="139" spans="1:5">
      <c r="A139" s="168">
        <v>10</v>
      </c>
      <c r="B139" s="7" t="s">
        <v>613</v>
      </c>
      <c r="C139" s="7" t="s">
        <v>276</v>
      </c>
      <c r="D139" s="7"/>
      <c r="E139" s="2"/>
    </row>
    <row r="140" spans="1:5">
      <c r="A140" s="170"/>
      <c r="B140" s="7" t="s">
        <v>541</v>
      </c>
      <c r="C140" s="7" t="s">
        <v>276</v>
      </c>
      <c r="D140" s="7" t="s">
        <v>542</v>
      </c>
      <c r="E140" s="2">
        <v>1</v>
      </c>
    </row>
    <row r="141" spans="1:5">
      <c r="A141" s="170"/>
      <c r="B141" s="7" t="s">
        <v>927</v>
      </c>
      <c r="C141" s="7" t="s">
        <v>276</v>
      </c>
      <c r="D141" s="7" t="s">
        <v>544</v>
      </c>
      <c r="E141" s="2"/>
    </row>
    <row r="142" spans="1:5">
      <c r="A142" s="169"/>
      <c r="B142" s="17" t="s">
        <v>610</v>
      </c>
      <c r="C142" s="17" t="s">
        <v>276</v>
      </c>
      <c r="D142" s="17" t="s">
        <v>178</v>
      </c>
      <c r="E142" s="2">
        <v>1</v>
      </c>
    </row>
    <row r="143" spans="1:5">
      <c r="A143" s="3"/>
      <c r="B143" s="215" t="s">
        <v>551</v>
      </c>
      <c r="C143" s="216"/>
      <c r="D143" s="216"/>
    </row>
    <row r="144" spans="1:5" s="57" customFormat="1">
      <c r="A144" s="76"/>
      <c r="B144" s="54"/>
      <c r="C144" s="55"/>
      <c r="D144" s="56"/>
    </row>
    <row r="145" spans="1:5" s="49" customFormat="1" ht="33.75" customHeight="1">
      <c r="A145" s="48" t="s">
        <v>255</v>
      </c>
      <c r="B145" s="225" t="s">
        <v>552</v>
      </c>
      <c r="C145" s="226"/>
      <c r="D145" s="227"/>
    </row>
    <row r="146" spans="1:5">
      <c r="A146" s="168">
        <v>0</v>
      </c>
      <c r="B146" s="7" t="s">
        <v>7</v>
      </c>
      <c r="C146" s="7" t="s">
        <v>6</v>
      </c>
      <c r="D146" s="7" t="s">
        <v>553</v>
      </c>
    </row>
    <row r="147" spans="1:5">
      <c r="A147" s="169"/>
      <c r="B147" s="7" t="s">
        <v>207</v>
      </c>
      <c r="C147" s="7" t="s">
        <v>208</v>
      </c>
      <c r="D147" s="7" t="s">
        <v>178</v>
      </c>
    </row>
    <row r="148" spans="1:5">
      <c r="A148" s="3"/>
      <c r="B148" s="215" t="s">
        <v>554</v>
      </c>
      <c r="C148" s="216"/>
      <c r="D148" s="217"/>
    </row>
    <row r="149" spans="1:5">
      <c r="A149" s="3">
        <v>1</v>
      </c>
      <c r="B149" s="7" t="s">
        <v>577</v>
      </c>
      <c r="C149" s="7" t="s">
        <v>110</v>
      </c>
      <c r="D149" s="7" t="s">
        <v>607</v>
      </c>
    </row>
    <row r="150" spans="1:5">
      <c r="A150" s="3">
        <v>2</v>
      </c>
      <c r="B150" s="7" t="s">
        <v>505</v>
      </c>
      <c r="C150" s="7" t="s">
        <v>110</v>
      </c>
      <c r="D150" s="7"/>
    </row>
    <row r="151" spans="1:5">
      <c r="A151" s="168">
        <v>3</v>
      </c>
      <c r="B151" s="6" t="s">
        <v>516</v>
      </c>
      <c r="C151" s="6" t="s">
        <v>279</v>
      </c>
      <c r="D151" s="6" t="s">
        <v>1224</v>
      </c>
    </row>
    <row r="152" spans="1:5">
      <c r="A152" s="169"/>
      <c r="B152" s="7" t="s">
        <v>517</v>
      </c>
      <c r="C152" s="6" t="s">
        <v>279</v>
      </c>
      <c r="D152" s="6" t="s">
        <v>1222</v>
      </c>
    </row>
    <row r="153" spans="1:5">
      <c r="A153" s="168">
        <v>4</v>
      </c>
      <c r="B153" s="7" t="s">
        <v>558</v>
      </c>
      <c r="C153" s="7" t="s">
        <v>279</v>
      </c>
      <c r="D153" s="15"/>
      <c r="E153" s="17" t="s">
        <v>113</v>
      </c>
    </row>
    <row r="154" spans="1:5">
      <c r="A154" s="169"/>
      <c r="B154" s="7" t="s">
        <v>559</v>
      </c>
      <c r="C154" s="7" t="s">
        <v>279</v>
      </c>
      <c r="D154" s="15"/>
      <c r="E154" s="17"/>
    </row>
    <row r="155" spans="1:5">
      <c r="A155" s="168">
        <v>5</v>
      </c>
      <c r="B155" s="7" t="s">
        <v>561</v>
      </c>
      <c r="C155" s="7" t="s">
        <v>279</v>
      </c>
      <c r="D155" s="15" t="s">
        <v>562</v>
      </c>
    </row>
    <row r="156" spans="1:5">
      <c r="A156" s="169"/>
      <c r="B156" s="7" t="s">
        <v>530</v>
      </c>
      <c r="C156" s="7" t="s">
        <v>279</v>
      </c>
      <c r="D156" s="15"/>
    </row>
    <row r="157" spans="1:5">
      <c r="A157" s="168">
        <v>6</v>
      </c>
      <c r="B157" s="7" t="s">
        <v>531</v>
      </c>
      <c r="C157" s="7" t="s">
        <v>279</v>
      </c>
      <c r="D157" s="7"/>
    </row>
    <row r="158" spans="1:5">
      <c r="A158" s="169"/>
      <c r="B158" s="7" t="s">
        <v>9</v>
      </c>
      <c r="C158" s="7" t="s">
        <v>279</v>
      </c>
      <c r="D158" s="7"/>
    </row>
    <row r="159" spans="1:5">
      <c r="A159" s="168">
        <v>7</v>
      </c>
      <c r="B159" s="7" t="s">
        <v>30</v>
      </c>
      <c r="C159" s="7" t="s">
        <v>279</v>
      </c>
      <c r="D159" s="7" t="s">
        <v>573</v>
      </c>
    </row>
    <row r="160" spans="1:5">
      <c r="A160" s="169"/>
      <c r="B160" s="7" t="s">
        <v>574</v>
      </c>
      <c r="C160" s="7" t="s">
        <v>279</v>
      </c>
      <c r="D160" s="7" t="s">
        <v>575</v>
      </c>
    </row>
    <row r="161" spans="1:5">
      <c r="A161" s="168">
        <v>8</v>
      </c>
      <c r="B161" s="4" t="s">
        <v>555</v>
      </c>
      <c r="C161" s="6" t="s">
        <v>276</v>
      </c>
      <c r="D161" s="12"/>
    </row>
    <row r="162" spans="1:5">
      <c r="A162" s="170"/>
      <c r="B162" s="7" t="s">
        <v>556</v>
      </c>
      <c r="C162" s="7" t="s">
        <v>276</v>
      </c>
      <c r="D162" s="15"/>
    </row>
    <row r="163" spans="1:5">
      <c r="A163" s="170"/>
      <c r="B163" s="7" t="s">
        <v>560</v>
      </c>
      <c r="C163" s="7" t="s">
        <v>276</v>
      </c>
      <c r="D163" s="15"/>
      <c r="E163" s="17"/>
    </row>
    <row r="164" spans="1:5">
      <c r="A164" s="169"/>
      <c r="B164" s="7" t="s">
        <v>519</v>
      </c>
      <c r="C164" s="7" t="s">
        <v>276</v>
      </c>
      <c r="D164" s="15"/>
    </row>
    <row r="165" spans="1:5">
      <c r="A165" s="88" t="s">
        <v>608</v>
      </c>
      <c r="B165" s="7" t="s">
        <v>496</v>
      </c>
      <c r="C165" s="7" t="s">
        <v>557</v>
      </c>
      <c r="D165" s="15"/>
    </row>
    <row r="166" spans="1:5">
      <c r="A166" s="168">
        <v>18</v>
      </c>
      <c r="B166" s="7" t="s">
        <v>563</v>
      </c>
      <c r="C166" s="7" t="s">
        <v>276</v>
      </c>
      <c r="D166" s="15"/>
    </row>
    <row r="167" spans="1:5">
      <c r="A167" s="170"/>
      <c r="B167" s="4" t="s">
        <v>500</v>
      </c>
      <c r="C167" s="7" t="s">
        <v>276</v>
      </c>
      <c r="D167" s="12"/>
    </row>
    <row r="168" spans="1:5">
      <c r="A168" s="170"/>
      <c r="B168" s="7" t="s">
        <v>564</v>
      </c>
      <c r="C168" s="7" t="s">
        <v>276</v>
      </c>
      <c r="D168" s="15"/>
    </row>
    <row r="169" spans="1:5">
      <c r="A169" s="169"/>
      <c r="B169" s="7" t="s">
        <v>565</v>
      </c>
      <c r="C169" s="7" t="s">
        <v>276</v>
      </c>
      <c r="D169" s="15" t="s">
        <v>566</v>
      </c>
    </row>
    <row r="170" spans="1:5">
      <c r="A170" s="245">
        <v>19</v>
      </c>
      <c r="B170" s="7" t="s">
        <v>567</v>
      </c>
      <c r="C170" s="7" t="s">
        <v>279</v>
      </c>
      <c r="D170" s="15"/>
    </row>
    <row r="171" spans="1:5">
      <c r="A171" s="245"/>
      <c r="B171" s="7" t="s">
        <v>568</v>
      </c>
      <c r="C171" s="7" t="s">
        <v>276</v>
      </c>
      <c r="D171" s="15"/>
    </row>
    <row r="172" spans="1:5">
      <c r="A172" s="245"/>
      <c r="B172" s="7" t="s">
        <v>569</v>
      </c>
      <c r="C172" s="7" t="s">
        <v>276</v>
      </c>
      <c r="D172" s="15"/>
    </row>
    <row r="173" spans="1:5">
      <c r="A173" s="245">
        <v>20</v>
      </c>
      <c r="B173" s="7" t="s">
        <v>570</v>
      </c>
      <c r="C173" s="7" t="s">
        <v>276</v>
      </c>
      <c r="D173" s="15"/>
    </row>
    <row r="174" spans="1:5">
      <c r="A174" s="245"/>
      <c r="B174" s="7" t="s">
        <v>571</v>
      </c>
      <c r="C174" s="7" t="s">
        <v>279</v>
      </c>
      <c r="D174" s="15"/>
    </row>
    <row r="175" spans="1:5">
      <c r="A175" s="245"/>
      <c r="B175" s="7" t="s">
        <v>572</v>
      </c>
      <c r="C175" s="7" t="s">
        <v>276</v>
      </c>
      <c r="D175" s="15"/>
    </row>
    <row r="176" spans="1:5">
      <c r="A176" s="245">
        <v>21</v>
      </c>
      <c r="B176" s="7" t="s">
        <v>576</v>
      </c>
      <c r="C176" s="7" t="s">
        <v>276</v>
      </c>
      <c r="D176" s="7">
        <v>1</v>
      </c>
    </row>
    <row r="177" spans="1:5">
      <c r="A177" s="245"/>
      <c r="B177" s="7" t="s">
        <v>508</v>
      </c>
      <c r="C177" s="7" t="s">
        <v>276</v>
      </c>
      <c r="D177" s="7"/>
    </row>
    <row r="178" spans="1:5">
      <c r="A178" s="245"/>
      <c r="B178" s="7" t="s">
        <v>578</v>
      </c>
      <c r="C178" s="7" t="s">
        <v>276</v>
      </c>
      <c r="D178" s="7"/>
    </row>
    <row r="179" spans="1:5">
      <c r="A179" s="245"/>
      <c r="B179" s="7" t="s">
        <v>610</v>
      </c>
      <c r="C179" s="7" t="s">
        <v>276</v>
      </c>
      <c r="D179" s="7" t="s">
        <v>178</v>
      </c>
    </row>
    <row r="180" spans="1:5">
      <c r="A180" s="3"/>
      <c r="B180" s="215" t="s">
        <v>579</v>
      </c>
      <c r="C180" s="216"/>
      <c r="D180" s="217"/>
    </row>
    <row r="181" spans="1:5" s="57" customFormat="1">
      <c r="A181" s="76"/>
      <c r="B181" s="58"/>
      <c r="C181" s="59"/>
      <c r="D181" s="60"/>
    </row>
    <row r="182" spans="1:5" ht="28.5" customHeight="1">
      <c r="A182" s="3" t="s">
        <v>206</v>
      </c>
      <c r="B182" s="228" t="s">
        <v>28</v>
      </c>
      <c r="C182" s="229"/>
      <c r="D182" s="230"/>
      <c r="E182" t="s">
        <v>920</v>
      </c>
    </row>
    <row r="183" spans="1:5">
      <c r="A183" s="168">
        <v>0</v>
      </c>
      <c r="B183" s="7" t="s">
        <v>7</v>
      </c>
      <c r="C183" s="7" t="s">
        <v>6</v>
      </c>
      <c r="D183" s="7" t="s">
        <v>26</v>
      </c>
    </row>
    <row r="184" spans="1:5" ht="45">
      <c r="A184" s="170"/>
      <c r="B184" s="7" t="s">
        <v>918</v>
      </c>
      <c r="C184" s="7" t="s">
        <v>6</v>
      </c>
      <c r="D184" s="9" t="s">
        <v>919</v>
      </c>
    </row>
    <row r="185" spans="1:5">
      <c r="A185" s="169"/>
      <c r="B185" s="68" t="s">
        <v>207</v>
      </c>
      <c r="C185" s="68" t="s">
        <v>201</v>
      </c>
      <c r="D185" s="68" t="s">
        <v>178</v>
      </c>
    </row>
    <row r="186" spans="1:5">
      <c r="A186" s="3"/>
      <c r="B186" s="215" t="s">
        <v>585</v>
      </c>
      <c r="C186" s="216"/>
      <c r="D186" s="217"/>
    </row>
    <row r="187" spans="1:5">
      <c r="A187" s="3">
        <v>1</v>
      </c>
      <c r="B187" s="7" t="s">
        <v>268</v>
      </c>
      <c r="C187" s="7" t="s">
        <v>110</v>
      </c>
      <c r="D187" s="7" t="s">
        <v>269</v>
      </c>
    </row>
    <row r="188" spans="1:5">
      <c r="A188" s="3">
        <v>2</v>
      </c>
      <c r="B188" s="7" t="s">
        <v>270</v>
      </c>
      <c r="C188" s="7" t="s">
        <v>110</v>
      </c>
      <c r="D188" s="7" t="s">
        <v>271</v>
      </c>
    </row>
    <row r="189" spans="1:5">
      <c r="A189" s="168">
        <v>3</v>
      </c>
      <c r="B189" s="7" t="s">
        <v>216</v>
      </c>
      <c r="C189" s="7" t="s">
        <v>5</v>
      </c>
      <c r="D189" s="7" t="s">
        <v>217</v>
      </c>
    </row>
    <row r="190" spans="1:5">
      <c r="A190" s="169"/>
      <c r="B190" s="7" t="s">
        <v>218</v>
      </c>
      <c r="C190" s="7" t="s">
        <v>5</v>
      </c>
      <c r="D190" s="7" t="s">
        <v>219</v>
      </c>
    </row>
    <row r="191" spans="1:5">
      <c r="A191" s="168">
        <v>4</v>
      </c>
      <c r="B191" s="7" t="s">
        <v>9</v>
      </c>
      <c r="C191" s="7" t="s">
        <v>5</v>
      </c>
      <c r="D191" s="7"/>
    </row>
    <row r="192" spans="1:5">
      <c r="A192" s="169"/>
      <c r="B192" s="7" t="s">
        <v>212</v>
      </c>
      <c r="C192" s="7" t="s">
        <v>5</v>
      </c>
      <c r="D192" s="7" t="s">
        <v>213</v>
      </c>
    </row>
    <row r="193" spans="1:5">
      <c r="A193" s="168">
        <v>5</v>
      </c>
      <c r="B193" s="7" t="s">
        <v>214</v>
      </c>
      <c r="C193" s="7" t="s">
        <v>6</v>
      </c>
      <c r="D193" s="7" t="s">
        <v>215</v>
      </c>
    </row>
    <row r="194" spans="1:5">
      <c r="A194" s="170"/>
      <c r="B194" s="7" t="s">
        <v>209</v>
      </c>
      <c r="C194" s="7" t="s">
        <v>6</v>
      </c>
      <c r="D194" s="9" t="s">
        <v>210</v>
      </c>
    </row>
    <row r="195" spans="1:5">
      <c r="A195" s="170"/>
      <c r="B195" s="33" t="s">
        <v>211</v>
      </c>
      <c r="C195" s="7" t="s">
        <v>6</v>
      </c>
      <c r="D195" s="7" t="s">
        <v>587</v>
      </c>
    </row>
    <row r="196" spans="1:5">
      <c r="A196" s="169"/>
      <c r="B196" s="7" t="s">
        <v>220</v>
      </c>
      <c r="C196" s="7" t="s">
        <v>6</v>
      </c>
      <c r="D196" s="7" t="s">
        <v>267</v>
      </c>
    </row>
    <row r="197" spans="1:5">
      <c r="A197" s="3"/>
      <c r="B197" s="215" t="s">
        <v>586</v>
      </c>
      <c r="C197" s="216"/>
      <c r="D197" s="217"/>
    </row>
    <row r="198" spans="1:5" s="57" customFormat="1">
      <c r="A198" s="76"/>
      <c r="B198" s="54"/>
      <c r="C198" s="55"/>
      <c r="D198" s="56"/>
    </row>
    <row r="199" spans="1:5" s="49" customFormat="1" ht="29.25" customHeight="1">
      <c r="A199" s="48" t="s">
        <v>206</v>
      </c>
      <c r="B199" s="225" t="s">
        <v>27</v>
      </c>
      <c r="C199" s="226"/>
      <c r="D199" s="227"/>
    </row>
    <row r="200" spans="1:5">
      <c r="A200" s="168">
        <v>0</v>
      </c>
      <c r="B200" s="7" t="s">
        <v>7</v>
      </c>
      <c r="C200" s="7" t="s">
        <v>6</v>
      </c>
      <c r="D200" s="7" t="s">
        <v>29</v>
      </c>
    </row>
    <row r="201" spans="1:5">
      <c r="A201" s="169"/>
      <c r="B201" s="68" t="s">
        <v>207</v>
      </c>
      <c r="C201" s="68" t="s">
        <v>514</v>
      </c>
      <c r="D201" s="68" t="s">
        <v>178</v>
      </c>
    </row>
    <row r="202" spans="1:5" s="69" customFormat="1">
      <c r="A202" s="87"/>
      <c r="B202" s="222" t="s">
        <v>588</v>
      </c>
      <c r="C202" s="223"/>
      <c r="D202" s="224"/>
      <c r="E202" s="69" t="s">
        <v>913</v>
      </c>
    </row>
    <row r="203" spans="1:5">
      <c r="A203" s="168">
        <v>1</v>
      </c>
      <c r="B203" s="4" t="s">
        <v>589</v>
      </c>
      <c r="C203" s="4" t="s">
        <v>279</v>
      </c>
      <c r="D203" s="9"/>
      <c r="E203" s="1"/>
    </row>
    <row r="204" spans="1:5">
      <c r="A204" s="169"/>
      <c r="B204" s="4" t="s">
        <v>590</v>
      </c>
      <c r="C204" s="4" t="s">
        <v>279</v>
      </c>
      <c r="D204" s="10"/>
    </row>
    <row r="205" spans="1:5">
      <c r="A205" s="168">
        <v>2</v>
      </c>
      <c r="B205" s="4" t="s">
        <v>593</v>
      </c>
      <c r="C205" s="4" t="s">
        <v>279</v>
      </c>
      <c r="D205" s="10"/>
    </row>
    <row r="206" spans="1:5">
      <c r="A206" s="170"/>
      <c r="B206" s="4" t="s">
        <v>591</v>
      </c>
      <c r="C206" s="4" t="s">
        <v>276</v>
      </c>
      <c r="D206" s="10"/>
    </row>
    <row r="207" spans="1:5">
      <c r="A207" s="169"/>
      <c r="B207" s="4" t="s">
        <v>592</v>
      </c>
      <c r="C207" s="4" t="s">
        <v>276</v>
      </c>
      <c r="D207" s="10"/>
    </row>
    <row r="208" spans="1:5">
      <c r="A208" s="50">
        <v>3</v>
      </c>
      <c r="B208" s="4" t="s">
        <v>610</v>
      </c>
      <c r="C208" s="4" t="s">
        <v>110</v>
      </c>
      <c r="D208" s="10" t="s">
        <v>178</v>
      </c>
    </row>
    <row r="209" spans="1:5">
      <c r="A209" s="3"/>
      <c r="B209" s="218" t="s">
        <v>594</v>
      </c>
      <c r="C209" s="219"/>
      <c r="D209" s="220"/>
    </row>
    <row r="210" spans="1:5" s="57" customFormat="1">
      <c r="A210" s="76"/>
      <c r="B210" s="70"/>
      <c r="C210" s="71"/>
      <c r="D210" s="72"/>
    </row>
    <row r="211" spans="1:5" s="49" customFormat="1" ht="25.5" customHeight="1">
      <c r="A211" s="48" t="s">
        <v>206</v>
      </c>
      <c r="B211" s="225" t="s">
        <v>232</v>
      </c>
      <c r="C211" s="226"/>
      <c r="D211" s="227"/>
    </row>
    <row r="212" spans="1:5">
      <c r="A212" s="168">
        <v>0</v>
      </c>
      <c r="B212" s="7" t="s">
        <v>7</v>
      </c>
      <c r="C212" s="7" t="s">
        <v>6</v>
      </c>
      <c r="D212" s="7" t="s">
        <v>108</v>
      </c>
    </row>
    <row r="213" spans="1:5" ht="30">
      <c r="A213" s="170"/>
      <c r="B213" s="7" t="s">
        <v>914</v>
      </c>
      <c r="C213" s="7" t="s">
        <v>6</v>
      </c>
      <c r="D213" s="9" t="s">
        <v>915</v>
      </c>
    </row>
    <row r="214" spans="1:5" ht="45">
      <c r="A214" s="170"/>
      <c r="B214" s="7" t="s">
        <v>916</v>
      </c>
      <c r="C214" s="7" t="s">
        <v>6</v>
      </c>
      <c r="D214" s="9" t="s">
        <v>917</v>
      </c>
    </row>
    <row r="215" spans="1:5">
      <c r="A215" s="169"/>
      <c r="B215" s="7" t="s">
        <v>207</v>
      </c>
      <c r="C215" s="7" t="s">
        <v>276</v>
      </c>
      <c r="D215" s="7" t="s">
        <v>178</v>
      </c>
    </row>
    <row r="216" spans="1:5">
      <c r="A216" s="3"/>
      <c r="B216" s="215" t="s">
        <v>595</v>
      </c>
      <c r="C216" s="216"/>
      <c r="D216" s="217"/>
      <c r="E216" t="s">
        <v>912</v>
      </c>
    </row>
    <row r="217" spans="1:5">
      <c r="A217" s="3">
        <v>1</v>
      </c>
      <c r="B217" s="7" t="s">
        <v>108</v>
      </c>
      <c r="C217" s="7" t="s">
        <v>110</v>
      </c>
      <c r="D217" s="7" t="s">
        <v>221</v>
      </c>
    </row>
    <row r="218" spans="1:5">
      <c r="A218" s="3">
        <v>2</v>
      </c>
      <c r="B218" s="7" t="s">
        <v>224</v>
      </c>
      <c r="C218" s="7" t="s">
        <v>110</v>
      </c>
      <c r="D218" s="7" t="s">
        <v>225</v>
      </c>
    </row>
    <row r="219" spans="1:5">
      <c r="A219" s="168">
        <v>3</v>
      </c>
      <c r="B219" s="7" t="s">
        <v>114</v>
      </c>
      <c r="C219" s="7" t="s">
        <v>5</v>
      </c>
      <c r="D219" s="7" t="s">
        <v>226</v>
      </c>
    </row>
    <row r="220" spans="1:5">
      <c r="A220" s="170"/>
      <c r="B220" s="7" t="s">
        <v>222</v>
      </c>
      <c r="C220" s="7" t="s">
        <v>6</v>
      </c>
      <c r="D220" s="7" t="s">
        <v>223</v>
      </c>
    </row>
    <row r="221" spans="1:5" ht="60">
      <c r="A221" s="169"/>
      <c r="B221" s="4" t="s">
        <v>227</v>
      </c>
      <c r="C221" s="4" t="s">
        <v>6</v>
      </c>
      <c r="D221" s="10" t="s">
        <v>228</v>
      </c>
    </row>
    <row r="222" spans="1:5">
      <c r="A222" s="168">
        <v>4</v>
      </c>
      <c r="B222" s="7" t="s">
        <v>231</v>
      </c>
      <c r="C222" s="7" t="s">
        <v>6</v>
      </c>
      <c r="D222" s="7" t="s">
        <v>229</v>
      </c>
    </row>
    <row r="223" spans="1:5">
      <c r="A223" s="169"/>
      <c r="B223" s="7" t="s">
        <v>109</v>
      </c>
      <c r="C223" s="7" t="s">
        <v>6</v>
      </c>
      <c r="D223" s="7" t="s">
        <v>230</v>
      </c>
    </row>
    <row r="224" spans="1:5">
      <c r="A224" s="3"/>
      <c r="B224" s="215" t="s">
        <v>596</v>
      </c>
      <c r="C224" s="216"/>
      <c r="D224" s="217"/>
    </row>
    <row r="225" spans="1:4" s="57" customFormat="1">
      <c r="A225" s="76"/>
      <c r="B225" s="53"/>
      <c r="C225" s="53"/>
      <c r="D225" s="53"/>
    </row>
    <row r="226" spans="1:4">
      <c r="A226" s="3"/>
      <c r="B226" s="7"/>
      <c r="C226" s="7"/>
      <c r="D226" s="7"/>
    </row>
    <row r="227" spans="1:4">
      <c r="A227" s="3"/>
      <c r="B227" s="7"/>
      <c r="C227" s="7"/>
      <c r="D227" s="7"/>
    </row>
    <row r="228" spans="1:4">
      <c r="A228" s="3"/>
      <c r="B228" s="7"/>
      <c r="C228" s="7"/>
      <c r="D228" s="7"/>
    </row>
    <row r="229" spans="1:4">
      <c r="A229" s="3"/>
      <c r="B229" s="7"/>
      <c r="C229" s="7"/>
      <c r="D229" s="7"/>
    </row>
    <row r="230" spans="1:4">
      <c r="A230" s="3"/>
      <c r="B230" s="7"/>
      <c r="C230" s="7"/>
      <c r="D230" s="7"/>
    </row>
    <row r="231" spans="1:4">
      <c r="A231" s="3"/>
      <c r="B231" s="7"/>
      <c r="C231" s="7"/>
      <c r="D231" s="7"/>
    </row>
    <row r="232" spans="1:4">
      <c r="A232" s="3"/>
      <c r="B232" s="7"/>
      <c r="C232" s="7"/>
      <c r="D232" s="7"/>
    </row>
    <row r="233" spans="1:4">
      <c r="A233" s="3"/>
      <c r="B233" s="7"/>
      <c r="C233" s="7"/>
      <c r="D233" s="7"/>
    </row>
    <row r="234" spans="1:4">
      <c r="A234" s="3"/>
      <c r="B234" s="7"/>
      <c r="C234" s="7"/>
      <c r="D234" s="7"/>
    </row>
    <row r="235" spans="1:4">
      <c r="A235" s="3"/>
      <c r="B235" s="7"/>
      <c r="C235" s="7"/>
      <c r="D235" s="7"/>
    </row>
    <row r="236" spans="1:4">
      <c r="A236" s="3"/>
      <c r="B236" s="7"/>
      <c r="C236" s="7"/>
      <c r="D236" s="7"/>
    </row>
    <row r="237" spans="1:4">
      <c r="A237" s="3"/>
      <c r="B237" s="7"/>
      <c r="C237" s="7"/>
      <c r="D237" s="7"/>
    </row>
    <row r="238" spans="1:4">
      <c r="A238" s="3"/>
      <c r="B238" s="7"/>
      <c r="C238" s="7"/>
      <c r="D238" s="7"/>
    </row>
    <row r="239" spans="1:4">
      <c r="A239" s="3"/>
      <c r="B239" s="7"/>
      <c r="C239" s="7"/>
      <c r="D239" s="7"/>
    </row>
    <row r="240" spans="1:4">
      <c r="A240" s="3"/>
      <c r="B240" s="7"/>
      <c r="C240" s="7"/>
      <c r="D240" s="7"/>
    </row>
    <row r="241" spans="1:4">
      <c r="A241" s="3"/>
      <c r="B241" s="7"/>
      <c r="C241" s="7"/>
      <c r="D241" s="7"/>
    </row>
    <row r="242" spans="1:4">
      <c r="A242" s="3"/>
      <c r="B242" s="7"/>
      <c r="C242" s="7"/>
      <c r="D242" s="7"/>
    </row>
    <row r="243" spans="1:4">
      <c r="A243" s="3"/>
      <c r="B243" s="7"/>
      <c r="C243" s="7"/>
      <c r="D243" s="7"/>
    </row>
    <row r="244" spans="1:4">
      <c r="A244" s="3"/>
      <c r="B244" s="7"/>
      <c r="C244" s="7"/>
      <c r="D244" s="7"/>
    </row>
    <row r="245" spans="1:4">
      <c r="A245" s="3"/>
      <c r="B245" s="7"/>
      <c r="C245" s="7"/>
      <c r="D245" s="7"/>
    </row>
    <row r="246" spans="1:4">
      <c r="A246" s="3"/>
      <c r="B246" s="7"/>
      <c r="C246" s="7"/>
      <c r="D246" s="7"/>
    </row>
    <row r="247" spans="1:4">
      <c r="A247" s="3"/>
      <c r="B247" s="7"/>
      <c r="C247" s="7"/>
      <c r="D247" s="7"/>
    </row>
    <row r="248" spans="1:4">
      <c r="A248" s="3"/>
      <c r="B248" s="7"/>
      <c r="C248" s="7"/>
      <c r="D248" s="7"/>
    </row>
    <row r="249" spans="1:4">
      <c r="A249" s="3"/>
      <c r="B249" s="7"/>
      <c r="C249" s="7"/>
      <c r="D249" s="7"/>
    </row>
    <row r="250" spans="1:4">
      <c r="A250" s="3"/>
      <c r="B250" s="7"/>
      <c r="C250" s="7"/>
      <c r="D250" s="7"/>
    </row>
    <row r="251" spans="1:4">
      <c r="A251" s="3"/>
      <c r="B251" s="7"/>
      <c r="C251" s="7"/>
      <c r="D251" s="7"/>
    </row>
    <row r="252" spans="1:4">
      <c r="A252" s="3"/>
      <c r="B252" s="7"/>
      <c r="C252" s="7"/>
      <c r="D252" s="7"/>
    </row>
    <row r="253" spans="1:4">
      <c r="A253" s="3"/>
      <c r="B253" s="7"/>
      <c r="C253" s="7"/>
      <c r="D253" s="7"/>
    </row>
    <row r="254" spans="1:4">
      <c r="A254" s="3"/>
      <c r="B254" s="7"/>
      <c r="C254" s="7"/>
      <c r="D254" s="7"/>
    </row>
    <row r="255" spans="1:4">
      <c r="A255" s="3"/>
      <c r="B255" s="7"/>
      <c r="C255" s="7"/>
      <c r="D255" s="7"/>
    </row>
    <row r="256" spans="1:4">
      <c r="A256" s="3"/>
      <c r="B256" s="7"/>
      <c r="C256" s="7"/>
      <c r="D256" s="7"/>
    </row>
    <row r="257" spans="1:4">
      <c r="A257" s="3"/>
      <c r="B257" s="7"/>
      <c r="C257" s="7"/>
      <c r="D257" s="7"/>
    </row>
    <row r="258" spans="1:4">
      <c r="A258" s="3"/>
      <c r="B258" s="7"/>
      <c r="C258" s="7"/>
      <c r="D258" s="7"/>
    </row>
    <row r="259" spans="1:4">
      <c r="A259" s="3"/>
      <c r="B259" s="7"/>
      <c r="C259" s="7"/>
      <c r="D259" s="7"/>
    </row>
    <row r="260" spans="1:4">
      <c r="A260" s="3"/>
      <c r="B260" s="7"/>
      <c r="C260" s="7"/>
      <c r="D260" s="7"/>
    </row>
    <row r="261" spans="1:4">
      <c r="A261" s="3"/>
      <c r="B261" s="7"/>
      <c r="C261" s="7"/>
      <c r="D261" s="7"/>
    </row>
    <row r="262" spans="1:4">
      <c r="A262" s="3"/>
      <c r="B262" s="7"/>
      <c r="C262" s="7"/>
      <c r="D262" s="7"/>
    </row>
    <row r="263" spans="1:4">
      <c r="A263" s="3"/>
      <c r="B263" s="7"/>
      <c r="C263" s="7"/>
      <c r="D263" s="7"/>
    </row>
    <row r="264" spans="1:4">
      <c r="A264" s="3"/>
      <c r="B264" s="7"/>
      <c r="C264" s="7"/>
      <c r="D264" s="7"/>
    </row>
    <row r="265" spans="1:4">
      <c r="A265" s="3"/>
      <c r="B265" s="7"/>
      <c r="C265" s="7"/>
      <c r="D265" s="7"/>
    </row>
    <row r="266" spans="1:4">
      <c r="A266" s="3"/>
      <c r="B266" s="7"/>
      <c r="C266" s="7"/>
      <c r="D266" s="7"/>
    </row>
    <row r="267" spans="1:4">
      <c r="A267" s="3"/>
      <c r="B267" s="7"/>
      <c r="C267" s="7"/>
      <c r="D267" s="7"/>
    </row>
    <row r="268" spans="1:4">
      <c r="A268" s="3"/>
      <c r="B268" s="7"/>
      <c r="C268" s="7"/>
      <c r="D268" s="7"/>
    </row>
    <row r="269" spans="1:4">
      <c r="A269" s="3"/>
      <c r="B269" s="7"/>
      <c r="C269" s="7"/>
      <c r="D269" s="7"/>
    </row>
    <row r="270" spans="1:4">
      <c r="A270" s="3"/>
      <c r="B270" s="7"/>
      <c r="C270" s="7"/>
      <c r="D270" s="7"/>
    </row>
    <row r="271" spans="1:4">
      <c r="A271" s="3"/>
      <c r="B271" s="7"/>
      <c r="C271" s="7"/>
      <c r="D271" s="7"/>
    </row>
    <row r="272" spans="1:4">
      <c r="A272" s="3"/>
      <c r="B272" s="7"/>
      <c r="C272" s="7"/>
      <c r="D272" s="7"/>
    </row>
    <row r="273" spans="1:4">
      <c r="A273" s="3"/>
      <c r="B273" s="7"/>
      <c r="C273" s="7"/>
      <c r="D273" s="7"/>
    </row>
    <row r="274" spans="1:4">
      <c r="A274" s="3"/>
      <c r="B274" s="7"/>
      <c r="C274" s="7"/>
      <c r="D274" s="7"/>
    </row>
    <row r="275" spans="1:4">
      <c r="A275" s="3"/>
      <c r="B275" s="7"/>
      <c r="C275" s="7"/>
      <c r="D275" s="7"/>
    </row>
    <row r="276" spans="1:4">
      <c r="A276" s="3"/>
      <c r="B276" s="7"/>
      <c r="C276" s="7"/>
      <c r="D276" s="7"/>
    </row>
    <row r="277" spans="1:4">
      <c r="A277" s="3"/>
      <c r="B277" s="7"/>
      <c r="C277" s="7"/>
      <c r="D277" s="7"/>
    </row>
    <row r="278" spans="1:4">
      <c r="A278" s="3"/>
      <c r="B278" s="7"/>
      <c r="C278" s="7"/>
      <c r="D278" s="7"/>
    </row>
    <row r="279" spans="1:4">
      <c r="A279" s="3"/>
      <c r="B279" s="7"/>
      <c r="C279" s="7"/>
      <c r="D279" s="7"/>
    </row>
    <row r="280" spans="1:4">
      <c r="A280" s="3"/>
      <c r="B280" s="7"/>
      <c r="C280" s="7"/>
      <c r="D280" s="7"/>
    </row>
    <row r="281" spans="1:4">
      <c r="A281" s="3"/>
      <c r="B281" s="7"/>
      <c r="C281" s="7"/>
      <c r="D281" s="7"/>
    </row>
    <row r="282" spans="1:4">
      <c r="A282" s="3"/>
      <c r="B282" s="7"/>
      <c r="C282" s="7"/>
      <c r="D282" s="7"/>
    </row>
    <row r="283" spans="1:4">
      <c r="A283" s="3"/>
      <c r="B283" s="7"/>
      <c r="C283" s="7"/>
      <c r="D283" s="7"/>
    </row>
    <row r="284" spans="1:4">
      <c r="A284" s="3"/>
      <c r="B284" s="7"/>
      <c r="C284" s="7"/>
      <c r="D284" s="7"/>
    </row>
    <row r="285" spans="1:4">
      <c r="A285" s="3"/>
      <c r="B285" s="7"/>
      <c r="C285" s="7"/>
      <c r="D285" s="7"/>
    </row>
    <row r="286" spans="1:4">
      <c r="A286" s="3"/>
      <c r="B286" s="7"/>
      <c r="C286" s="7"/>
      <c r="D286" s="7"/>
    </row>
    <row r="287" spans="1:4">
      <c r="A287" s="3"/>
      <c r="B287" s="7"/>
      <c r="C287" s="7"/>
      <c r="D287" s="7"/>
    </row>
    <row r="288" spans="1:4">
      <c r="A288" s="3"/>
      <c r="B288" s="7"/>
      <c r="C288" s="7"/>
      <c r="D288" s="7"/>
    </row>
    <row r="289" spans="1:4">
      <c r="A289" s="3"/>
      <c r="B289" s="7"/>
      <c r="C289" s="7"/>
      <c r="D289" s="7"/>
    </row>
    <row r="290" spans="1:4">
      <c r="A290" s="3"/>
      <c r="B290" s="7"/>
      <c r="C290" s="7"/>
      <c r="D290" s="7"/>
    </row>
    <row r="291" spans="1:4">
      <c r="A291" s="3"/>
      <c r="B291" s="7"/>
      <c r="C291" s="7"/>
      <c r="D291" s="7"/>
    </row>
    <row r="292" spans="1:4">
      <c r="A292" s="3"/>
      <c r="B292" s="7"/>
      <c r="C292" s="7"/>
      <c r="D292" s="7"/>
    </row>
    <row r="293" spans="1:4">
      <c r="A293" s="3"/>
      <c r="B293" s="7"/>
      <c r="C293" s="7"/>
      <c r="D293" s="7"/>
    </row>
    <row r="294" spans="1:4">
      <c r="A294" s="3"/>
      <c r="B294" s="7"/>
      <c r="C294" s="7"/>
      <c r="D294" s="7"/>
    </row>
    <row r="295" spans="1:4">
      <c r="A295" s="3"/>
      <c r="B295" s="7"/>
      <c r="C295" s="7"/>
      <c r="D295" s="7"/>
    </row>
    <row r="296" spans="1:4">
      <c r="A296" s="3"/>
      <c r="B296" s="7"/>
      <c r="C296" s="7"/>
      <c r="D296" s="7"/>
    </row>
    <row r="297" spans="1:4">
      <c r="A297" s="3"/>
      <c r="B297" s="7"/>
      <c r="C297" s="7"/>
      <c r="D297" s="7"/>
    </row>
    <row r="298" spans="1:4">
      <c r="A298" s="3"/>
      <c r="B298" s="7"/>
      <c r="C298" s="7"/>
      <c r="D298" s="7"/>
    </row>
    <row r="299" spans="1:4">
      <c r="A299" s="3"/>
      <c r="B299" s="7"/>
      <c r="C299" s="7"/>
      <c r="D299" s="7"/>
    </row>
    <row r="300" spans="1:4">
      <c r="A300" s="3"/>
      <c r="B300" s="7"/>
      <c r="C300" s="7"/>
      <c r="D300" s="7"/>
    </row>
    <row r="301" spans="1:4">
      <c r="A301" s="3"/>
      <c r="B301" s="7"/>
      <c r="C301" s="7"/>
      <c r="D301" s="7"/>
    </row>
    <row r="302" spans="1:4">
      <c r="A302" s="3"/>
      <c r="B302" s="7"/>
      <c r="C302" s="7"/>
      <c r="D302" s="7"/>
    </row>
    <row r="303" spans="1:4">
      <c r="A303" s="3"/>
      <c r="B303" s="7"/>
      <c r="C303" s="7"/>
      <c r="D303" s="7"/>
    </row>
    <row r="304" spans="1:4">
      <c r="A304" s="3"/>
      <c r="B304" s="7"/>
      <c r="C304" s="7"/>
      <c r="D304" s="7"/>
    </row>
    <row r="305" spans="1:4">
      <c r="A305" s="3"/>
      <c r="B305" s="7"/>
      <c r="C305" s="7"/>
      <c r="D305" s="7"/>
    </row>
    <row r="306" spans="1:4">
      <c r="A306" s="3"/>
      <c r="B306" s="7"/>
      <c r="C306" s="7"/>
      <c r="D306" s="7"/>
    </row>
    <row r="307" spans="1:4">
      <c r="A307" s="3"/>
      <c r="B307" s="7"/>
      <c r="C307" s="7"/>
      <c r="D307" s="7"/>
    </row>
    <row r="308" spans="1:4">
      <c r="A308" s="3"/>
      <c r="B308" s="7"/>
      <c r="C308" s="7"/>
      <c r="D308" s="7"/>
    </row>
    <row r="309" spans="1:4">
      <c r="A309" s="3"/>
      <c r="B309" s="7"/>
      <c r="C309" s="7"/>
      <c r="D309" s="7"/>
    </row>
    <row r="310" spans="1:4">
      <c r="A310" s="3"/>
      <c r="B310" s="7"/>
      <c r="C310" s="7"/>
      <c r="D310" s="7"/>
    </row>
    <row r="311" spans="1:4">
      <c r="A311" s="3"/>
      <c r="B311" s="7"/>
      <c r="C311" s="7"/>
      <c r="D311" s="7"/>
    </row>
    <row r="312" spans="1:4">
      <c r="A312" s="3"/>
      <c r="B312" s="7"/>
      <c r="C312" s="7"/>
      <c r="D312" s="7"/>
    </row>
    <row r="313" spans="1:4">
      <c r="A313" s="3"/>
      <c r="B313" s="7"/>
      <c r="C313" s="7"/>
      <c r="D313" s="7"/>
    </row>
    <row r="314" spans="1:4">
      <c r="A314" s="3"/>
      <c r="B314" s="7"/>
      <c r="C314" s="7"/>
      <c r="D314" s="7"/>
    </row>
    <row r="315" spans="1:4">
      <c r="A315" s="3"/>
      <c r="B315" s="7"/>
      <c r="C315" s="7"/>
      <c r="D315" s="7"/>
    </row>
    <row r="316" spans="1:4">
      <c r="A316" s="3"/>
      <c r="B316" s="7"/>
      <c r="C316" s="7"/>
      <c r="D316" s="7"/>
    </row>
    <row r="317" spans="1:4">
      <c r="A317" s="3"/>
      <c r="B317" s="7"/>
      <c r="C317" s="7"/>
      <c r="D317" s="7"/>
    </row>
    <row r="318" spans="1:4">
      <c r="A318" s="3"/>
      <c r="B318" s="7"/>
      <c r="C318" s="7"/>
      <c r="D318" s="7"/>
    </row>
    <row r="319" spans="1:4">
      <c r="A319" s="3"/>
      <c r="B319" s="7"/>
      <c r="C319" s="7"/>
      <c r="D319" s="7"/>
    </row>
    <row r="320" spans="1:4">
      <c r="A320" s="3"/>
      <c r="B320" s="7"/>
      <c r="C320" s="7"/>
      <c r="D320" s="7"/>
    </row>
    <row r="321" spans="1:4">
      <c r="A321" s="3"/>
      <c r="B321" s="7"/>
      <c r="C321" s="7"/>
      <c r="D321" s="7"/>
    </row>
    <row r="322" spans="1:4">
      <c r="A322" s="3"/>
      <c r="B322" s="7"/>
      <c r="C322" s="7"/>
      <c r="D322" s="7"/>
    </row>
    <row r="323" spans="1:4">
      <c r="A323" s="3"/>
      <c r="B323" s="7"/>
      <c r="C323" s="7"/>
      <c r="D323" s="7"/>
    </row>
    <row r="324" spans="1:4">
      <c r="A324" s="3"/>
      <c r="B324" s="7"/>
      <c r="C324" s="7"/>
      <c r="D324" s="7"/>
    </row>
    <row r="325" spans="1:4">
      <c r="A325" s="3"/>
      <c r="B325" s="7"/>
      <c r="C325" s="7"/>
      <c r="D325" s="7"/>
    </row>
    <row r="326" spans="1:4">
      <c r="A326" s="3"/>
      <c r="B326" s="7"/>
      <c r="C326" s="7"/>
      <c r="D326" s="7"/>
    </row>
    <row r="327" spans="1:4">
      <c r="A327" s="3"/>
      <c r="B327" s="7"/>
      <c r="C327" s="7"/>
      <c r="D327" s="7"/>
    </row>
    <row r="328" spans="1:4">
      <c r="A328" s="3"/>
      <c r="B328" s="7"/>
      <c r="C328" s="7"/>
      <c r="D328" s="7"/>
    </row>
    <row r="329" spans="1:4">
      <c r="A329" s="3"/>
      <c r="B329" s="7"/>
      <c r="C329" s="7"/>
      <c r="D329" s="7"/>
    </row>
    <row r="330" spans="1:4">
      <c r="A330" s="3"/>
      <c r="B330" s="7"/>
      <c r="C330" s="7"/>
      <c r="D330" s="7"/>
    </row>
    <row r="331" spans="1:4">
      <c r="A331" s="3"/>
      <c r="B331" s="7"/>
      <c r="C331" s="7"/>
      <c r="D331" s="7"/>
    </row>
    <row r="332" spans="1:4">
      <c r="A332" s="3"/>
      <c r="B332" s="7"/>
      <c r="C332" s="7"/>
      <c r="D332" s="7"/>
    </row>
    <row r="333" spans="1:4">
      <c r="A333" s="3"/>
      <c r="B333" s="7"/>
      <c r="C333" s="7"/>
      <c r="D333" s="7"/>
    </row>
    <row r="334" spans="1:4">
      <c r="A334" s="3"/>
      <c r="B334" s="7"/>
      <c r="C334" s="7"/>
      <c r="D334" s="7"/>
    </row>
    <row r="335" spans="1:4">
      <c r="A335" s="3"/>
      <c r="B335" s="7"/>
      <c r="C335" s="7"/>
      <c r="D335" s="7"/>
    </row>
    <row r="336" spans="1:4">
      <c r="A336" s="3"/>
      <c r="B336" s="7"/>
      <c r="C336" s="7"/>
      <c r="D336" s="7"/>
    </row>
    <row r="337" spans="1:4">
      <c r="A337" s="3"/>
      <c r="B337" s="7"/>
      <c r="C337" s="7"/>
      <c r="D337" s="7"/>
    </row>
    <row r="338" spans="1:4">
      <c r="A338" s="3"/>
      <c r="B338" s="7"/>
      <c r="C338" s="7"/>
      <c r="D338" s="7"/>
    </row>
    <row r="339" spans="1:4">
      <c r="A339" s="3"/>
      <c r="B339" s="7"/>
      <c r="C339" s="7"/>
      <c r="D339" s="7"/>
    </row>
    <row r="340" spans="1:4">
      <c r="A340" s="3"/>
      <c r="B340" s="7"/>
      <c r="C340" s="7"/>
      <c r="D340" s="7"/>
    </row>
    <row r="341" spans="1:4">
      <c r="A341" s="3"/>
      <c r="B341" s="7"/>
      <c r="C341" s="7"/>
      <c r="D341" s="7"/>
    </row>
    <row r="342" spans="1:4">
      <c r="A342" s="3"/>
      <c r="B342" s="7"/>
      <c r="C342" s="7"/>
      <c r="D342" s="7"/>
    </row>
  </sheetData>
  <mergeCells count="88">
    <mergeCell ref="A219:A221"/>
    <mergeCell ref="A222:A223"/>
    <mergeCell ref="A139:A142"/>
    <mergeCell ref="A193:A196"/>
    <mergeCell ref="A200:A201"/>
    <mergeCell ref="A203:A204"/>
    <mergeCell ref="A205:A207"/>
    <mergeCell ref="A189:A190"/>
    <mergeCell ref="A191:A192"/>
    <mergeCell ref="A176:A179"/>
    <mergeCell ref="A212:A215"/>
    <mergeCell ref="A183:A185"/>
    <mergeCell ref="A155:A156"/>
    <mergeCell ref="A157:A158"/>
    <mergeCell ref="A159:A160"/>
    <mergeCell ref="A161:A164"/>
    <mergeCell ref="A166:A169"/>
    <mergeCell ref="A170:A172"/>
    <mergeCell ref="A173:A175"/>
    <mergeCell ref="A82:A83"/>
    <mergeCell ref="A84:A85"/>
    <mergeCell ref="A86:A87"/>
    <mergeCell ref="A88:A89"/>
    <mergeCell ref="A90:A92"/>
    <mergeCell ref="A93:A96"/>
    <mergeCell ref="A97:A99"/>
    <mergeCell ref="A100:A102"/>
    <mergeCell ref="A104:A107"/>
    <mergeCell ref="A108:A111"/>
    <mergeCell ref="A153:A154"/>
    <mergeCell ref="A23:A24"/>
    <mergeCell ref="A26:A28"/>
    <mergeCell ref="A29:A30"/>
    <mergeCell ref="A31:A32"/>
    <mergeCell ref="A58:A60"/>
    <mergeCell ref="A33:A34"/>
    <mergeCell ref="A35:A38"/>
    <mergeCell ref="A39:A42"/>
    <mergeCell ref="A46:A47"/>
    <mergeCell ref="A49:A50"/>
    <mergeCell ref="A51:A53"/>
    <mergeCell ref="A55:A57"/>
    <mergeCell ref="A61:A64"/>
    <mergeCell ref="A65:A66"/>
    <mergeCell ref="A68:A70"/>
    <mergeCell ref="A71:A72"/>
    <mergeCell ref="A76:A77"/>
    <mergeCell ref="A80:A81"/>
    <mergeCell ref="B143:D143"/>
    <mergeCell ref="B216:D216"/>
    <mergeCell ref="B224:D224"/>
    <mergeCell ref="B11:D11"/>
    <mergeCell ref="A115:A116"/>
    <mergeCell ref="A119:A120"/>
    <mergeCell ref="A121:A122"/>
    <mergeCell ref="A123:A124"/>
    <mergeCell ref="A125:A126"/>
    <mergeCell ref="A127:A128"/>
    <mergeCell ref="A129:A130"/>
    <mergeCell ref="A131:A134"/>
    <mergeCell ref="A135:A138"/>
    <mergeCell ref="A146:A147"/>
    <mergeCell ref="A151:A152"/>
    <mergeCell ref="B6:D6"/>
    <mergeCell ref="B117:D117"/>
    <mergeCell ref="B25:D25"/>
    <mergeCell ref="B43:D43"/>
    <mergeCell ref="B22:D22"/>
    <mergeCell ref="B45:D45"/>
    <mergeCell ref="B78:D78"/>
    <mergeCell ref="B67:D67"/>
    <mergeCell ref="B114:D114"/>
    <mergeCell ref="B112:D112"/>
    <mergeCell ref="B73:D73"/>
    <mergeCell ref="B54:D54"/>
    <mergeCell ref="B75:D75"/>
    <mergeCell ref="B48:D48"/>
    <mergeCell ref="B17:D17"/>
    <mergeCell ref="B211:D211"/>
    <mergeCell ref="B199:D199"/>
    <mergeCell ref="B145:D145"/>
    <mergeCell ref="B182:D182"/>
    <mergeCell ref="B209:D209"/>
    <mergeCell ref="B186:D186"/>
    <mergeCell ref="B197:D197"/>
    <mergeCell ref="B202:D202"/>
    <mergeCell ref="B148:D148"/>
    <mergeCell ref="B180:D180"/>
  </mergeCells>
  <phoneticPr fontId="3"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61D0F-2310-452A-9D4D-6B0069C3B738}">
  <dimension ref="A1:H273"/>
  <sheetViews>
    <sheetView topLeftCell="A190" zoomScale="115" zoomScaleNormal="115" workbookViewId="0">
      <selection activeCell="F100" sqref="F100"/>
    </sheetView>
  </sheetViews>
  <sheetFormatPr defaultRowHeight="15"/>
  <cols>
    <col min="1" max="1" width="13.140625" customWidth="1"/>
    <col min="2" max="2" width="14" style="3" customWidth="1"/>
    <col min="3" max="3" width="47.28515625" customWidth="1"/>
    <col min="4" max="4" width="17" customWidth="1"/>
    <col min="5" max="5" width="42.42578125" customWidth="1"/>
    <col min="6" max="6" width="41.85546875" customWidth="1"/>
  </cols>
  <sheetData>
    <row r="1" spans="1:6" s="105" customFormat="1">
      <c r="A1" s="36" t="s">
        <v>681</v>
      </c>
      <c r="B1" s="16" t="s">
        <v>680</v>
      </c>
      <c r="C1" s="36" t="s">
        <v>1</v>
      </c>
      <c r="D1" s="36" t="s">
        <v>679</v>
      </c>
      <c r="E1" s="36" t="s">
        <v>3</v>
      </c>
    </row>
    <row r="2" spans="1:6" s="104" customFormat="1">
      <c r="A2" s="102">
        <v>0</v>
      </c>
      <c r="B2" s="103"/>
      <c r="C2" s="281" t="s">
        <v>463</v>
      </c>
      <c r="D2" s="282"/>
      <c r="E2" s="283"/>
    </row>
    <row r="3" spans="1:6" ht="30">
      <c r="A3" s="7"/>
      <c r="B3" s="168">
        <v>0</v>
      </c>
      <c r="C3" s="7" t="s">
        <v>261</v>
      </c>
      <c r="D3" s="7" t="s">
        <v>276</v>
      </c>
      <c r="E3" s="9" t="s">
        <v>464</v>
      </c>
      <c r="F3" s="126" t="s">
        <v>908</v>
      </c>
    </row>
    <row r="4" spans="1:6">
      <c r="A4" s="7"/>
      <c r="B4" s="170"/>
      <c r="C4" s="7" t="s">
        <v>358</v>
      </c>
      <c r="D4" s="7" t="s">
        <v>276</v>
      </c>
      <c r="E4" s="9" t="s">
        <v>465</v>
      </c>
    </row>
    <row r="5" spans="1:6" ht="30">
      <c r="A5" s="7"/>
      <c r="B5" s="170"/>
      <c r="C5" s="7" t="s">
        <v>468</v>
      </c>
      <c r="D5" s="7" t="s">
        <v>276</v>
      </c>
      <c r="E5" s="9" t="s">
        <v>469</v>
      </c>
    </row>
    <row r="6" spans="1:6" ht="75">
      <c r="A6" s="7"/>
      <c r="B6" s="169"/>
      <c r="C6" s="7" t="s">
        <v>483</v>
      </c>
      <c r="D6" s="7" t="s">
        <v>276</v>
      </c>
      <c r="E6" s="9" t="s">
        <v>482</v>
      </c>
      <c r="F6" s="1" t="s">
        <v>625</v>
      </c>
    </row>
    <row r="7" spans="1:6" ht="30">
      <c r="A7" s="7"/>
      <c r="B7" s="168">
        <v>1</v>
      </c>
      <c r="C7" s="4" t="s">
        <v>615</v>
      </c>
      <c r="D7" s="4" t="s">
        <v>276</v>
      </c>
      <c r="E7" s="10" t="s">
        <v>476</v>
      </c>
    </row>
    <row r="8" spans="1:6">
      <c r="A8" s="7"/>
      <c r="B8" s="169"/>
      <c r="C8" s="4" t="s">
        <v>623</v>
      </c>
      <c r="D8" s="4" t="s">
        <v>514</v>
      </c>
      <c r="E8" s="10" t="s">
        <v>178</v>
      </c>
    </row>
    <row r="9" spans="1:6" s="104" customFormat="1">
      <c r="A9" s="102">
        <f>A2+1+1</f>
        <v>2</v>
      </c>
      <c r="B9" s="103"/>
      <c r="C9" s="281" t="s">
        <v>477</v>
      </c>
      <c r="D9" s="282"/>
      <c r="E9" s="283"/>
    </row>
    <row r="10" spans="1:6">
      <c r="A10" s="7"/>
      <c r="B10" s="168">
        <v>0</v>
      </c>
      <c r="C10" s="7" t="s">
        <v>478</v>
      </c>
      <c r="D10" s="7" t="s">
        <v>276</v>
      </c>
      <c r="E10" s="9"/>
    </row>
    <row r="11" spans="1:6">
      <c r="A11" s="7"/>
      <c r="B11" s="170"/>
      <c r="C11" s="7" t="s">
        <v>479</v>
      </c>
      <c r="D11" s="7" t="s">
        <v>276</v>
      </c>
      <c r="E11" s="9"/>
    </row>
    <row r="12" spans="1:6">
      <c r="A12" s="7"/>
      <c r="B12" s="170"/>
      <c r="C12" s="7" t="s">
        <v>480</v>
      </c>
      <c r="D12" s="7" t="s">
        <v>276</v>
      </c>
      <c r="E12" s="9"/>
    </row>
    <row r="13" spans="1:6">
      <c r="A13" s="7"/>
      <c r="B13" s="169"/>
      <c r="C13" s="7" t="s">
        <v>481</v>
      </c>
      <c r="D13" s="7" t="s">
        <v>276</v>
      </c>
      <c r="E13" s="7"/>
    </row>
    <row r="14" spans="1:6" s="104" customFormat="1">
      <c r="A14" s="102">
        <f>A9+1</f>
        <v>3</v>
      </c>
      <c r="B14" s="103"/>
      <c r="C14" s="281" t="s">
        <v>626</v>
      </c>
      <c r="D14" s="282"/>
      <c r="E14" s="283"/>
    </row>
    <row r="15" spans="1:6">
      <c r="A15" s="7"/>
      <c r="B15" s="168">
        <v>0</v>
      </c>
      <c r="C15" s="39" t="s">
        <v>275</v>
      </c>
      <c r="D15" s="7" t="s">
        <v>276</v>
      </c>
      <c r="E15" s="7"/>
    </row>
    <row r="16" spans="1:6">
      <c r="A16" s="7"/>
      <c r="B16" s="170"/>
      <c r="C16" s="39" t="s">
        <v>277</v>
      </c>
      <c r="D16" s="7" t="s">
        <v>276</v>
      </c>
      <c r="E16" s="7" t="s">
        <v>278</v>
      </c>
    </row>
    <row r="17" spans="1:5">
      <c r="A17" s="7"/>
      <c r="B17" s="169"/>
      <c r="C17" s="39" t="s">
        <v>195</v>
      </c>
      <c r="D17" s="7" t="s">
        <v>279</v>
      </c>
      <c r="E17" s="7"/>
    </row>
    <row r="18" spans="1:5">
      <c r="A18" s="7"/>
      <c r="B18" s="168">
        <v>1</v>
      </c>
      <c r="C18" s="39" t="s">
        <v>196</v>
      </c>
      <c r="D18" s="7" t="s">
        <v>279</v>
      </c>
      <c r="E18" s="7"/>
    </row>
    <row r="19" spans="1:5">
      <c r="A19" s="7"/>
      <c r="B19" s="169"/>
      <c r="C19" s="39" t="s">
        <v>623</v>
      </c>
      <c r="D19" s="7" t="s">
        <v>627</v>
      </c>
      <c r="E19" s="7" t="s">
        <v>178</v>
      </c>
    </row>
    <row r="20" spans="1:5" ht="45">
      <c r="A20" s="7"/>
      <c r="B20" s="3">
        <v>2</v>
      </c>
      <c r="C20" s="43" t="s">
        <v>629</v>
      </c>
      <c r="D20" s="3" t="s">
        <v>272</v>
      </c>
      <c r="E20" s="12" t="s">
        <v>273</v>
      </c>
    </row>
    <row r="21" spans="1:5" ht="45">
      <c r="A21" s="7"/>
      <c r="B21" s="3">
        <v>3</v>
      </c>
      <c r="C21" s="43" t="s">
        <v>274</v>
      </c>
      <c r="D21" s="3" t="s">
        <v>272</v>
      </c>
      <c r="E21" s="12" t="s">
        <v>273</v>
      </c>
    </row>
    <row r="22" spans="1:5" ht="26.25" customHeight="1">
      <c r="A22" s="7"/>
      <c r="B22" s="22" t="s">
        <v>628</v>
      </c>
      <c r="C22" s="43" t="s">
        <v>630</v>
      </c>
      <c r="D22" s="3" t="s">
        <v>272</v>
      </c>
      <c r="E22" s="12"/>
    </row>
    <row r="23" spans="1:5">
      <c r="A23" s="7"/>
      <c r="B23" s="88" t="s">
        <v>631</v>
      </c>
      <c r="C23" s="275" t="s">
        <v>280</v>
      </c>
      <c r="D23" s="276"/>
      <c r="E23" s="277"/>
    </row>
    <row r="24" spans="1:5" s="104" customFormat="1">
      <c r="A24" s="102">
        <f>A14+1+19</f>
        <v>23</v>
      </c>
      <c r="B24" s="103"/>
      <c r="C24" s="278" t="s">
        <v>650</v>
      </c>
      <c r="D24" s="278"/>
      <c r="E24" s="278"/>
    </row>
    <row r="25" spans="1:5">
      <c r="A25" s="7"/>
      <c r="B25" s="168">
        <v>0</v>
      </c>
      <c r="C25" s="39" t="s">
        <v>275</v>
      </c>
      <c r="D25" s="7" t="s">
        <v>276</v>
      </c>
      <c r="E25" s="7"/>
    </row>
    <row r="26" spans="1:5">
      <c r="A26" s="7"/>
      <c r="B26" s="170"/>
      <c r="C26" s="39" t="s">
        <v>277</v>
      </c>
      <c r="D26" s="7" t="s">
        <v>276</v>
      </c>
      <c r="E26" s="7" t="s">
        <v>278</v>
      </c>
    </row>
    <row r="27" spans="1:5">
      <c r="A27" s="7"/>
      <c r="B27" s="169"/>
      <c r="C27" s="39" t="s">
        <v>623</v>
      </c>
      <c r="D27" s="7" t="s">
        <v>627</v>
      </c>
      <c r="E27" s="7" t="s">
        <v>178</v>
      </c>
    </row>
    <row r="28" spans="1:5">
      <c r="A28" s="7"/>
      <c r="B28" s="168">
        <v>1</v>
      </c>
      <c r="C28" s="39" t="s">
        <v>195</v>
      </c>
      <c r="D28" s="7" t="s">
        <v>279</v>
      </c>
      <c r="E28" s="7"/>
    </row>
    <row r="29" spans="1:5">
      <c r="A29" s="7"/>
      <c r="B29" s="169"/>
      <c r="C29" s="39" t="s">
        <v>196</v>
      </c>
      <c r="D29" s="7" t="s">
        <v>279</v>
      </c>
      <c r="E29" s="7"/>
    </row>
    <row r="30" spans="1:5">
      <c r="A30" s="7"/>
      <c r="C30" s="279" t="s">
        <v>291</v>
      </c>
      <c r="D30" s="279"/>
      <c r="E30" s="279"/>
    </row>
    <row r="31" spans="1:5">
      <c r="A31" s="7"/>
      <c r="C31" s="284" t="s">
        <v>288</v>
      </c>
      <c r="D31" s="284"/>
      <c r="E31" s="284"/>
    </row>
    <row r="32" spans="1:5">
      <c r="A32" s="7"/>
      <c r="B32" s="245">
        <v>2</v>
      </c>
      <c r="C32" s="39" t="s">
        <v>281</v>
      </c>
      <c r="D32" s="7" t="s">
        <v>276</v>
      </c>
      <c r="E32" s="7"/>
    </row>
    <row r="33" spans="1:5">
      <c r="A33" s="7"/>
      <c r="B33" s="245"/>
      <c r="C33" s="39" t="s">
        <v>282</v>
      </c>
      <c r="D33" s="7" t="s">
        <v>276</v>
      </c>
      <c r="E33" s="7"/>
    </row>
    <row r="34" spans="1:5">
      <c r="A34" s="7"/>
      <c r="B34" s="245"/>
      <c r="C34" s="39" t="s">
        <v>283</v>
      </c>
      <c r="D34" s="7" t="s">
        <v>276</v>
      </c>
      <c r="E34" s="7"/>
    </row>
    <row r="35" spans="1:5">
      <c r="A35" s="7"/>
      <c r="B35" s="245"/>
      <c r="C35" s="39" t="s">
        <v>249</v>
      </c>
      <c r="D35" s="7" t="s">
        <v>276</v>
      </c>
      <c r="E35" s="7"/>
    </row>
    <row r="36" spans="1:5">
      <c r="A36" s="7"/>
      <c r="B36" s="245">
        <v>3</v>
      </c>
      <c r="C36" s="39" t="s">
        <v>284</v>
      </c>
      <c r="D36" s="7" t="s">
        <v>276</v>
      </c>
      <c r="E36" s="7"/>
    </row>
    <row r="37" spans="1:5">
      <c r="A37" s="7"/>
      <c r="B37" s="245"/>
      <c r="C37" s="39" t="s">
        <v>285</v>
      </c>
      <c r="D37" s="7" t="s">
        <v>276</v>
      </c>
      <c r="E37" s="7"/>
    </row>
    <row r="38" spans="1:5">
      <c r="A38" s="7"/>
      <c r="B38" s="245"/>
      <c r="C38" s="39" t="s">
        <v>286</v>
      </c>
      <c r="D38" s="7" t="s">
        <v>276</v>
      </c>
      <c r="E38" s="7"/>
    </row>
    <row r="39" spans="1:5">
      <c r="A39" s="7"/>
      <c r="B39" s="245"/>
      <c r="C39" s="39" t="s">
        <v>287</v>
      </c>
      <c r="D39" s="7" t="s">
        <v>276</v>
      </c>
      <c r="E39" s="7"/>
    </row>
    <row r="40" spans="1:5">
      <c r="A40" s="7"/>
      <c r="C40" s="284" t="s">
        <v>310</v>
      </c>
      <c r="D40" s="284"/>
      <c r="E40" s="284"/>
    </row>
    <row r="41" spans="1:5">
      <c r="A41" s="7"/>
      <c r="B41" s="168">
        <v>4</v>
      </c>
      <c r="C41" s="39" t="s">
        <v>289</v>
      </c>
      <c r="D41" s="7" t="s">
        <v>276</v>
      </c>
      <c r="E41" s="7"/>
    </row>
    <row r="42" spans="1:5">
      <c r="A42" s="7"/>
      <c r="B42" s="169"/>
      <c r="C42" s="95" t="s">
        <v>623</v>
      </c>
      <c r="D42" s="95" t="s">
        <v>514</v>
      </c>
      <c r="E42" s="39" t="s">
        <v>178</v>
      </c>
    </row>
    <row r="43" spans="1:5">
      <c r="A43" s="7"/>
      <c r="C43" s="263" t="s">
        <v>290</v>
      </c>
      <c r="D43" s="264"/>
      <c r="E43" s="265"/>
    </row>
    <row r="44" spans="1:5">
      <c r="A44" s="7"/>
      <c r="B44" s="245">
        <v>5</v>
      </c>
      <c r="C44" s="39" t="s">
        <v>292</v>
      </c>
      <c r="D44" s="7" t="s">
        <v>276</v>
      </c>
      <c r="E44" s="7"/>
    </row>
    <row r="45" spans="1:5">
      <c r="A45" s="7"/>
      <c r="B45" s="245"/>
      <c r="C45" s="39" t="s">
        <v>293</v>
      </c>
      <c r="D45" s="7" t="s">
        <v>276</v>
      </c>
      <c r="E45" s="7"/>
    </row>
    <row r="46" spans="1:5">
      <c r="A46" s="7"/>
      <c r="B46" s="245"/>
      <c r="C46" s="39" t="s">
        <v>623</v>
      </c>
      <c r="D46" s="7" t="s">
        <v>295</v>
      </c>
      <c r="E46" s="7" t="s">
        <v>178</v>
      </c>
    </row>
    <row r="47" spans="1:5">
      <c r="A47" s="7"/>
      <c r="C47" s="263" t="s">
        <v>309</v>
      </c>
      <c r="D47" s="264"/>
      <c r="E47" s="265"/>
    </row>
    <row r="48" spans="1:5">
      <c r="A48" s="7"/>
      <c r="C48" s="249" t="s">
        <v>296</v>
      </c>
      <c r="D48" s="250"/>
      <c r="E48" s="251"/>
    </row>
    <row r="49" spans="1:6">
      <c r="A49" s="7"/>
      <c r="B49" s="245">
        <v>6</v>
      </c>
      <c r="C49" s="39" t="s">
        <v>297</v>
      </c>
      <c r="D49" s="7" t="s">
        <v>276</v>
      </c>
      <c r="E49" s="7"/>
    </row>
    <row r="50" spans="1:6">
      <c r="A50" s="7"/>
      <c r="B50" s="245"/>
      <c r="C50" s="39" t="s">
        <v>298</v>
      </c>
      <c r="D50" s="7" t="s">
        <v>276</v>
      </c>
      <c r="E50" s="7"/>
    </row>
    <row r="51" spans="1:6">
      <c r="A51" s="7"/>
      <c r="B51" s="245"/>
      <c r="C51" s="39" t="s">
        <v>299</v>
      </c>
      <c r="D51" s="7" t="s">
        <v>276</v>
      </c>
      <c r="E51" s="7"/>
    </row>
    <row r="52" spans="1:6">
      <c r="A52" s="7"/>
      <c r="B52" s="245"/>
      <c r="C52" s="39" t="s">
        <v>623</v>
      </c>
      <c r="D52" s="7" t="s">
        <v>276</v>
      </c>
      <c r="E52" s="7" t="s">
        <v>178</v>
      </c>
    </row>
    <row r="53" spans="1:6">
      <c r="A53" s="7"/>
      <c r="C53" s="249" t="s">
        <v>308</v>
      </c>
      <c r="D53" s="250"/>
      <c r="E53" s="251"/>
    </row>
    <row r="54" spans="1:6">
      <c r="A54" s="7"/>
      <c r="B54" s="168">
        <v>7</v>
      </c>
      <c r="C54" s="39" t="s">
        <v>300</v>
      </c>
      <c r="D54" s="7" t="s">
        <v>279</v>
      </c>
      <c r="E54" s="7"/>
    </row>
    <row r="55" spans="1:6">
      <c r="A55" s="7"/>
      <c r="B55" s="169"/>
      <c r="C55" s="39" t="s">
        <v>623</v>
      </c>
      <c r="D55" s="7" t="s">
        <v>627</v>
      </c>
      <c r="E55" s="7" t="s">
        <v>178</v>
      </c>
    </row>
    <row r="56" spans="1:6">
      <c r="A56" s="7"/>
      <c r="C56" s="280" t="s">
        <v>301</v>
      </c>
      <c r="D56" s="280"/>
      <c r="E56" s="280"/>
    </row>
    <row r="57" spans="1:6">
      <c r="A57" s="7"/>
      <c r="B57" s="245">
        <v>8</v>
      </c>
      <c r="C57" s="39" t="s">
        <v>292</v>
      </c>
      <c r="D57" s="7" t="s">
        <v>276</v>
      </c>
      <c r="E57" s="7"/>
    </row>
    <row r="58" spans="1:6">
      <c r="A58" s="7"/>
      <c r="B58" s="245"/>
      <c r="C58" s="39" t="s">
        <v>632</v>
      </c>
      <c r="D58" s="7" t="s">
        <v>279</v>
      </c>
      <c r="E58" s="7"/>
    </row>
    <row r="59" spans="1:6">
      <c r="A59" s="7"/>
      <c r="B59" s="245"/>
      <c r="C59" s="39" t="s">
        <v>623</v>
      </c>
      <c r="D59" s="7" t="s">
        <v>276</v>
      </c>
      <c r="E59" s="7" t="s">
        <v>178</v>
      </c>
    </row>
    <row r="60" spans="1:6">
      <c r="A60" s="7"/>
      <c r="C60" s="249" t="s">
        <v>307</v>
      </c>
      <c r="D60" s="250"/>
      <c r="E60" s="251"/>
    </row>
    <row r="61" spans="1:6">
      <c r="A61" s="7"/>
      <c r="B61" s="168">
        <v>9</v>
      </c>
      <c r="C61" s="43" t="s">
        <v>302</v>
      </c>
      <c r="D61" s="7" t="s">
        <v>276</v>
      </c>
      <c r="E61" s="7" t="s">
        <v>633</v>
      </c>
      <c r="F61" t="s">
        <v>467</v>
      </c>
    </row>
    <row r="62" spans="1:6">
      <c r="A62" s="7"/>
      <c r="B62" s="170"/>
      <c r="C62" s="39" t="s">
        <v>304</v>
      </c>
      <c r="D62" s="7" t="s">
        <v>276</v>
      </c>
      <c r="E62" s="7">
        <v>0</v>
      </c>
    </row>
    <row r="63" spans="1:6">
      <c r="A63" s="7"/>
      <c r="B63" s="170"/>
      <c r="C63" s="39" t="s">
        <v>305</v>
      </c>
      <c r="D63" s="7" t="s">
        <v>276</v>
      </c>
      <c r="E63" s="7"/>
      <c r="F63" t="s">
        <v>466</v>
      </c>
    </row>
    <row r="64" spans="1:6">
      <c r="A64" s="7"/>
      <c r="B64" s="169"/>
      <c r="C64" s="95" t="s">
        <v>623</v>
      </c>
      <c r="D64" s="95" t="s">
        <v>276</v>
      </c>
      <c r="E64" s="39" t="s">
        <v>178</v>
      </c>
    </row>
    <row r="65" spans="1:6">
      <c r="A65" s="7"/>
      <c r="C65" s="249" t="s">
        <v>306</v>
      </c>
      <c r="D65" s="250"/>
      <c r="E65" s="251"/>
    </row>
    <row r="66" spans="1:6">
      <c r="A66" s="7"/>
      <c r="C66" s="249" t="s">
        <v>634</v>
      </c>
      <c r="D66" s="250"/>
      <c r="E66" s="251"/>
    </row>
    <row r="67" spans="1:6">
      <c r="A67" s="7"/>
      <c r="B67" s="168">
        <v>10</v>
      </c>
      <c r="C67" s="39" t="s">
        <v>311</v>
      </c>
      <c r="D67" s="7" t="s">
        <v>276</v>
      </c>
      <c r="E67" s="7"/>
    </row>
    <row r="68" spans="1:6">
      <c r="A68" s="7"/>
      <c r="B68" s="170"/>
      <c r="C68" s="39" t="s">
        <v>312</v>
      </c>
      <c r="D68" s="7" t="s">
        <v>276</v>
      </c>
      <c r="E68" s="7"/>
    </row>
    <row r="69" spans="1:6">
      <c r="A69" s="7"/>
      <c r="B69" s="169"/>
      <c r="C69" s="39" t="s">
        <v>313</v>
      </c>
      <c r="D69" s="7" t="s">
        <v>279</v>
      </c>
      <c r="E69" s="7"/>
    </row>
    <row r="70" spans="1:6">
      <c r="A70" s="7"/>
      <c r="C70" s="249" t="s">
        <v>635</v>
      </c>
      <c r="D70" s="250"/>
      <c r="E70" s="251"/>
      <c r="F70" t="s">
        <v>440</v>
      </c>
    </row>
    <row r="71" spans="1:6">
      <c r="A71" s="7"/>
      <c r="B71" s="3">
        <v>11</v>
      </c>
      <c r="C71" s="249" t="s">
        <v>636</v>
      </c>
      <c r="D71" s="250"/>
      <c r="E71" s="251"/>
    </row>
    <row r="72" spans="1:6">
      <c r="A72" s="7"/>
      <c r="B72" s="3">
        <v>12</v>
      </c>
      <c r="C72" s="249" t="s">
        <v>314</v>
      </c>
      <c r="D72" s="250"/>
      <c r="E72" s="251"/>
    </row>
    <row r="73" spans="1:6">
      <c r="A73" s="7"/>
      <c r="B73" s="3">
        <v>13</v>
      </c>
      <c r="C73" s="249" t="s">
        <v>433</v>
      </c>
      <c r="D73" s="250"/>
      <c r="E73" s="251"/>
    </row>
    <row r="74" spans="1:6">
      <c r="A74" s="7"/>
      <c r="B74" s="3">
        <v>14</v>
      </c>
      <c r="C74" s="249" t="s">
        <v>434</v>
      </c>
      <c r="D74" s="250"/>
      <c r="E74" s="251"/>
    </row>
    <row r="75" spans="1:6">
      <c r="A75" s="7"/>
      <c r="B75" s="3">
        <v>15</v>
      </c>
      <c r="C75" s="249" t="s">
        <v>435</v>
      </c>
      <c r="D75" s="250"/>
      <c r="E75" s="251"/>
    </row>
    <row r="76" spans="1:6">
      <c r="A76" s="7"/>
      <c r="B76" s="3">
        <v>16</v>
      </c>
      <c r="C76" s="249" t="s">
        <v>436</v>
      </c>
      <c r="D76" s="250"/>
      <c r="E76" s="251"/>
    </row>
    <row r="77" spans="1:6">
      <c r="A77" s="7"/>
      <c r="B77" s="3">
        <v>17</v>
      </c>
      <c r="C77" s="249" t="s">
        <v>437</v>
      </c>
      <c r="D77" s="250"/>
      <c r="E77" s="251"/>
    </row>
    <row r="78" spans="1:6">
      <c r="A78" s="7"/>
      <c r="B78" s="3">
        <v>18</v>
      </c>
      <c r="C78" s="249" t="s">
        <v>438</v>
      </c>
      <c r="D78" s="250"/>
      <c r="E78" s="251"/>
    </row>
    <row r="79" spans="1:6">
      <c r="A79" s="7"/>
      <c r="B79" s="3">
        <v>19</v>
      </c>
      <c r="C79" s="249" t="s">
        <v>439</v>
      </c>
      <c r="D79" s="250"/>
      <c r="E79" s="251"/>
    </row>
    <row r="80" spans="1:6">
      <c r="A80" s="7"/>
      <c r="B80" s="22" t="s">
        <v>638</v>
      </c>
      <c r="C80" s="263" t="s">
        <v>637</v>
      </c>
      <c r="D80" s="264"/>
      <c r="E80" s="265"/>
    </row>
    <row r="81" spans="1:6">
      <c r="A81" s="7"/>
      <c r="C81" s="249" t="s">
        <v>343</v>
      </c>
      <c r="D81" s="250"/>
      <c r="E81" s="251"/>
    </row>
    <row r="82" spans="1:6">
      <c r="A82" s="7"/>
      <c r="C82" s="249" t="s">
        <v>450</v>
      </c>
      <c r="D82" s="250"/>
      <c r="E82" s="251"/>
    </row>
    <row r="83" spans="1:6">
      <c r="A83" s="7"/>
      <c r="C83" s="249" t="s">
        <v>316</v>
      </c>
      <c r="D83" s="250"/>
      <c r="E83" s="251"/>
    </row>
    <row r="84" spans="1:6">
      <c r="A84" s="7"/>
      <c r="B84" s="168">
        <v>26</v>
      </c>
      <c r="C84" s="39" t="s">
        <v>317</v>
      </c>
      <c r="D84" s="7" t="s">
        <v>276</v>
      </c>
      <c r="E84" s="7">
        <v>0</v>
      </c>
    </row>
    <row r="85" spans="1:6">
      <c r="A85" s="7"/>
      <c r="B85" s="170"/>
      <c r="C85" s="39" t="s">
        <v>322</v>
      </c>
      <c r="D85" s="7" t="s">
        <v>279</v>
      </c>
      <c r="E85" s="7"/>
    </row>
    <row r="86" spans="1:6">
      <c r="A86" s="7"/>
      <c r="B86" s="169"/>
      <c r="C86" s="39" t="s">
        <v>623</v>
      </c>
      <c r="D86" s="7" t="s">
        <v>276</v>
      </c>
      <c r="E86" s="7" t="s">
        <v>178</v>
      </c>
    </row>
    <row r="87" spans="1:6">
      <c r="A87" s="7"/>
      <c r="B87" s="168">
        <v>27</v>
      </c>
      <c r="C87" s="39" t="s">
        <v>318</v>
      </c>
      <c r="D87" s="7" t="s">
        <v>276</v>
      </c>
      <c r="E87" s="7"/>
    </row>
    <row r="88" spans="1:6">
      <c r="A88" s="7"/>
      <c r="B88" s="170"/>
      <c r="C88" s="39" t="s">
        <v>319</v>
      </c>
      <c r="D88" s="7" t="s">
        <v>276</v>
      </c>
      <c r="E88" s="7"/>
    </row>
    <row r="89" spans="1:6">
      <c r="A89" s="7"/>
      <c r="B89" s="170"/>
      <c r="C89" s="39" t="s">
        <v>320</v>
      </c>
      <c r="D89" s="7" t="s">
        <v>276</v>
      </c>
      <c r="E89" s="7"/>
    </row>
    <row r="90" spans="1:6">
      <c r="A90" s="7"/>
      <c r="B90" s="169"/>
      <c r="C90" s="39" t="s">
        <v>321</v>
      </c>
      <c r="D90" s="7" t="s">
        <v>276</v>
      </c>
      <c r="E90" s="7"/>
    </row>
    <row r="91" spans="1:6">
      <c r="A91" s="7"/>
      <c r="C91" s="249" t="s">
        <v>323</v>
      </c>
      <c r="D91" s="250"/>
      <c r="E91" s="251"/>
    </row>
    <row r="92" spans="1:6">
      <c r="A92" s="7"/>
      <c r="B92" s="22" t="s">
        <v>639</v>
      </c>
      <c r="C92" s="249" t="s">
        <v>315</v>
      </c>
      <c r="D92" s="250"/>
      <c r="E92" s="251"/>
    </row>
    <row r="93" spans="1:6">
      <c r="A93" s="7"/>
      <c r="B93" s="22" t="s">
        <v>640</v>
      </c>
      <c r="C93" s="249" t="s">
        <v>324</v>
      </c>
      <c r="D93" s="250"/>
      <c r="E93" s="251"/>
    </row>
    <row r="94" spans="1:6">
      <c r="A94" s="7"/>
      <c r="B94" s="22" t="s">
        <v>641</v>
      </c>
      <c r="C94" s="263" t="s">
        <v>325</v>
      </c>
      <c r="D94" s="264"/>
      <c r="E94" s="265"/>
    </row>
    <row r="95" spans="1:6">
      <c r="A95" s="7"/>
      <c r="C95" s="272" t="s">
        <v>451</v>
      </c>
      <c r="D95" s="273"/>
      <c r="E95" s="274"/>
    </row>
    <row r="96" spans="1:6" ht="90">
      <c r="A96" s="7"/>
      <c r="C96" s="272" t="s">
        <v>452</v>
      </c>
      <c r="D96" s="273"/>
      <c r="E96" s="274"/>
      <c r="F96" s="1" t="s">
        <v>911</v>
      </c>
    </row>
    <row r="97" spans="1:5">
      <c r="A97" s="7"/>
      <c r="C97" s="249" t="s">
        <v>326</v>
      </c>
      <c r="D97" s="250"/>
      <c r="E97" s="251"/>
    </row>
    <row r="98" spans="1:5">
      <c r="A98" s="7"/>
      <c r="B98" s="168">
        <v>33</v>
      </c>
      <c r="C98" s="39" t="s">
        <v>327</v>
      </c>
      <c r="D98" s="7" t="s">
        <v>276</v>
      </c>
      <c r="E98" s="7"/>
    </row>
    <row r="99" spans="1:5">
      <c r="A99" s="7"/>
      <c r="B99" s="170"/>
      <c r="C99" s="39" t="s">
        <v>328</v>
      </c>
      <c r="D99" s="7" t="s">
        <v>276</v>
      </c>
      <c r="E99" s="7"/>
    </row>
    <row r="100" spans="1:5">
      <c r="A100" s="7"/>
      <c r="B100" s="170"/>
      <c r="C100" s="39" t="s">
        <v>329</v>
      </c>
      <c r="D100" s="7" t="s">
        <v>276</v>
      </c>
      <c r="E100" s="7">
        <v>0</v>
      </c>
    </row>
    <row r="101" spans="1:5">
      <c r="A101" s="7"/>
      <c r="B101" s="169"/>
      <c r="C101" s="39" t="s">
        <v>330</v>
      </c>
      <c r="D101" s="7" t="s">
        <v>276</v>
      </c>
      <c r="E101" s="7">
        <v>0</v>
      </c>
    </row>
    <row r="102" spans="1:5">
      <c r="A102" s="7"/>
      <c r="C102" s="249" t="s">
        <v>331</v>
      </c>
      <c r="D102" s="250"/>
      <c r="E102" s="251"/>
    </row>
    <row r="103" spans="1:5" ht="90">
      <c r="A103" s="7"/>
      <c r="B103" s="168">
        <v>34</v>
      </c>
      <c r="C103" s="44" t="s">
        <v>292</v>
      </c>
      <c r="D103" s="4" t="s">
        <v>276</v>
      </c>
      <c r="E103" s="10" t="s">
        <v>415</v>
      </c>
    </row>
    <row r="104" spans="1:5">
      <c r="A104" s="7"/>
      <c r="B104" s="169"/>
      <c r="C104" s="93" t="s">
        <v>623</v>
      </c>
      <c r="D104" s="93" t="s">
        <v>514</v>
      </c>
      <c r="E104" s="94" t="s">
        <v>178</v>
      </c>
    </row>
    <row r="105" spans="1:5">
      <c r="A105" s="7"/>
      <c r="C105" s="249" t="s">
        <v>419</v>
      </c>
      <c r="D105" s="250"/>
      <c r="E105" s="251"/>
    </row>
    <row r="106" spans="1:5">
      <c r="A106" s="7"/>
      <c r="B106" s="168">
        <v>35</v>
      </c>
      <c r="C106" s="39" t="s">
        <v>416</v>
      </c>
      <c r="D106" s="7" t="s">
        <v>276</v>
      </c>
      <c r="E106" s="9"/>
    </row>
    <row r="107" spans="1:5">
      <c r="A107" s="7"/>
      <c r="B107" s="170"/>
      <c r="C107" s="39" t="s">
        <v>417</v>
      </c>
      <c r="D107" s="7" t="s">
        <v>276</v>
      </c>
      <c r="E107" s="9"/>
    </row>
    <row r="108" spans="1:5">
      <c r="A108" s="7"/>
      <c r="B108" s="170"/>
      <c r="C108" s="39" t="s">
        <v>418</v>
      </c>
      <c r="D108" s="7" t="s">
        <v>276</v>
      </c>
      <c r="E108" s="9"/>
    </row>
    <row r="109" spans="1:5">
      <c r="A109" s="7"/>
      <c r="B109" s="169"/>
      <c r="C109" s="39" t="s">
        <v>623</v>
      </c>
      <c r="D109" s="7" t="s">
        <v>276</v>
      </c>
      <c r="E109" s="9" t="s">
        <v>178</v>
      </c>
    </row>
    <row r="110" spans="1:5">
      <c r="A110" s="7"/>
      <c r="C110" s="249" t="s">
        <v>420</v>
      </c>
      <c r="D110" s="250"/>
      <c r="E110" s="251"/>
    </row>
    <row r="111" spans="1:5">
      <c r="A111" s="7"/>
      <c r="C111" s="257" t="s">
        <v>421</v>
      </c>
      <c r="D111" s="258"/>
      <c r="E111" s="259"/>
    </row>
    <row r="112" spans="1:5">
      <c r="A112" s="7"/>
      <c r="B112" s="168">
        <v>35</v>
      </c>
      <c r="C112" s="45" t="s">
        <v>416</v>
      </c>
      <c r="D112" s="7" t="s">
        <v>276</v>
      </c>
      <c r="E112" s="32"/>
    </row>
    <row r="113" spans="1:5">
      <c r="A113" s="7"/>
      <c r="B113" s="170"/>
      <c r="C113" s="45" t="s">
        <v>417</v>
      </c>
      <c r="D113" s="7" t="s">
        <v>276</v>
      </c>
      <c r="E113" s="32"/>
    </row>
    <row r="114" spans="1:5">
      <c r="A114" s="7"/>
      <c r="B114" s="170"/>
      <c r="C114" s="45" t="s">
        <v>418</v>
      </c>
      <c r="D114" s="7" t="s">
        <v>276</v>
      </c>
      <c r="E114" s="32"/>
    </row>
    <row r="115" spans="1:5">
      <c r="A115" s="7"/>
      <c r="B115" s="169"/>
      <c r="C115" s="45" t="s">
        <v>424</v>
      </c>
      <c r="D115" s="7" t="s">
        <v>276</v>
      </c>
      <c r="E115" s="32"/>
    </row>
    <row r="116" spans="1:5">
      <c r="A116" s="7"/>
      <c r="C116" s="249" t="s">
        <v>422</v>
      </c>
      <c r="D116" s="250"/>
      <c r="E116" s="251"/>
    </row>
    <row r="117" spans="1:5">
      <c r="A117" s="7"/>
      <c r="C117" s="257" t="s">
        <v>426</v>
      </c>
      <c r="D117" s="258"/>
      <c r="E117" s="259"/>
    </row>
    <row r="118" spans="1:5">
      <c r="A118" s="7"/>
      <c r="B118" s="168">
        <v>35</v>
      </c>
      <c r="C118" s="45" t="s">
        <v>425</v>
      </c>
      <c r="D118" s="7" t="s">
        <v>276</v>
      </c>
      <c r="E118" s="32"/>
    </row>
    <row r="119" spans="1:5">
      <c r="A119" s="7"/>
      <c r="B119" s="170"/>
      <c r="C119" s="45" t="s">
        <v>417</v>
      </c>
      <c r="D119" s="7" t="s">
        <v>276</v>
      </c>
      <c r="E119" s="32"/>
    </row>
    <row r="120" spans="1:5">
      <c r="A120" s="7"/>
      <c r="B120" s="170"/>
      <c r="C120" s="45" t="s">
        <v>418</v>
      </c>
      <c r="D120" s="7" t="s">
        <v>276</v>
      </c>
      <c r="E120" s="32"/>
    </row>
    <row r="121" spans="1:5">
      <c r="A121" s="7"/>
      <c r="B121" s="169"/>
      <c r="C121" s="45" t="s">
        <v>623</v>
      </c>
      <c r="D121" s="7" t="s">
        <v>276</v>
      </c>
      <c r="E121" s="32" t="s">
        <v>178</v>
      </c>
    </row>
    <row r="122" spans="1:5">
      <c r="A122" s="7"/>
      <c r="C122" s="249" t="s">
        <v>423</v>
      </c>
      <c r="D122" s="250"/>
      <c r="E122" s="251"/>
    </row>
    <row r="123" spans="1:5">
      <c r="A123" s="7"/>
      <c r="B123" s="168">
        <v>35</v>
      </c>
      <c r="C123" s="45" t="s">
        <v>425</v>
      </c>
      <c r="D123" s="7" t="s">
        <v>276</v>
      </c>
      <c r="E123" s="32"/>
    </row>
    <row r="124" spans="1:5">
      <c r="A124" s="7"/>
      <c r="B124" s="170"/>
      <c r="C124" s="45" t="s">
        <v>417</v>
      </c>
      <c r="D124" s="7" t="s">
        <v>276</v>
      </c>
      <c r="E124" s="32"/>
    </row>
    <row r="125" spans="1:5">
      <c r="A125" s="7"/>
      <c r="B125" s="170"/>
      <c r="C125" s="45" t="s">
        <v>418</v>
      </c>
      <c r="D125" s="7" t="s">
        <v>276</v>
      </c>
      <c r="E125" s="32"/>
    </row>
    <row r="126" spans="1:5">
      <c r="A126" s="7"/>
      <c r="B126" s="169"/>
      <c r="C126" s="45" t="s">
        <v>623</v>
      </c>
      <c r="D126" s="7" t="s">
        <v>276</v>
      </c>
      <c r="E126" s="32" t="s">
        <v>178</v>
      </c>
    </row>
    <row r="127" spans="1:5">
      <c r="A127" s="7"/>
      <c r="C127" s="249" t="s">
        <v>427</v>
      </c>
      <c r="D127" s="250"/>
      <c r="E127" s="251"/>
    </row>
    <row r="128" spans="1:5">
      <c r="A128" s="7"/>
      <c r="B128" s="168">
        <v>35</v>
      </c>
      <c r="C128" s="45" t="s">
        <v>425</v>
      </c>
      <c r="D128" s="7" t="s">
        <v>276</v>
      </c>
      <c r="E128" s="32"/>
    </row>
    <row r="129" spans="1:6">
      <c r="A129" s="7"/>
      <c r="B129" s="170"/>
      <c r="C129" s="45" t="s">
        <v>417</v>
      </c>
      <c r="D129" s="7" t="s">
        <v>276</v>
      </c>
      <c r="E129" s="32"/>
    </row>
    <row r="130" spans="1:6">
      <c r="A130" s="7"/>
      <c r="B130" s="170"/>
      <c r="C130" s="45" t="s">
        <v>418</v>
      </c>
      <c r="D130" s="7" t="s">
        <v>276</v>
      </c>
      <c r="E130" s="32"/>
    </row>
    <row r="131" spans="1:6">
      <c r="A131" s="7"/>
      <c r="B131" s="169"/>
      <c r="C131" s="45" t="s">
        <v>623</v>
      </c>
      <c r="D131" s="7" t="s">
        <v>276</v>
      </c>
      <c r="E131" s="9" t="s">
        <v>178</v>
      </c>
    </row>
    <row r="132" spans="1:6">
      <c r="A132" s="7"/>
      <c r="C132" s="249" t="s">
        <v>428</v>
      </c>
      <c r="D132" s="250"/>
      <c r="E132" s="251"/>
    </row>
    <row r="133" spans="1:6">
      <c r="A133" s="7"/>
      <c r="C133" s="249" t="s">
        <v>429</v>
      </c>
      <c r="D133" s="250"/>
      <c r="E133" s="251"/>
    </row>
    <row r="134" spans="1:6">
      <c r="A134" s="7"/>
      <c r="B134" s="168">
        <v>35</v>
      </c>
      <c r="C134" s="45" t="s">
        <v>425</v>
      </c>
      <c r="D134" s="7" t="s">
        <v>276</v>
      </c>
      <c r="E134" s="36"/>
    </row>
    <row r="135" spans="1:6">
      <c r="A135" s="7"/>
      <c r="B135" s="170"/>
      <c r="C135" s="45" t="s">
        <v>431</v>
      </c>
      <c r="D135" s="7" t="s">
        <v>276</v>
      </c>
      <c r="E135" s="36"/>
    </row>
    <row r="136" spans="1:6">
      <c r="A136" s="7"/>
      <c r="B136" s="170"/>
      <c r="C136" s="45" t="s">
        <v>432</v>
      </c>
      <c r="D136" s="7" t="s">
        <v>276</v>
      </c>
      <c r="E136" s="9"/>
    </row>
    <row r="137" spans="1:6">
      <c r="A137" s="7"/>
      <c r="B137" s="169"/>
      <c r="C137" s="45" t="s">
        <v>418</v>
      </c>
      <c r="D137" s="7" t="s">
        <v>276</v>
      </c>
      <c r="E137" s="9"/>
    </row>
    <row r="138" spans="1:6">
      <c r="A138" s="7"/>
      <c r="C138" s="249" t="s">
        <v>430</v>
      </c>
      <c r="D138" s="250"/>
      <c r="E138" s="251"/>
    </row>
    <row r="139" spans="1:6">
      <c r="A139" s="7"/>
      <c r="C139" s="249" t="s">
        <v>332</v>
      </c>
      <c r="D139" s="250"/>
      <c r="E139" s="251"/>
    </row>
    <row r="140" spans="1:6">
      <c r="A140" s="7"/>
      <c r="C140" s="249" t="s">
        <v>333</v>
      </c>
      <c r="D140" s="250"/>
      <c r="E140" s="251"/>
    </row>
    <row r="141" spans="1:6">
      <c r="A141" s="7"/>
      <c r="B141" s="22" t="s">
        <v>642</v>
      </c>
      <c r="C141" s="263" t="s">
        <v>453</v>
      </c>
      <c r="D141" s="264"/>
      <c r="E141" s="265"/>
    </row>
    <row r="142" spans="1:6">
      <c r="A142" s="7"/>
      <c r="C142" s="272" t="s">
        <v>454</v>
      </c>
      <c r="D142" s="273"/>
      <c r="E142" s="274"/>
    </row>
    <row r="143" spans="1:6">
      <c r="A143" s="7"/>
      <c r="C143" s="266" t="s">
        <v>534</v>
      </c>
      <c r="D143" s="267"/>
      <c r="E143" s="268"/>
      <c r="F143" t="s">
        <v>538</v>
      </c>
    </row>
    <row r="144" spans="1:6">
      <c r="A144" s="7"/>
      <c r="B144" s="168">
        <v>81</v>
      </c>
      <c r="C144" s="44" t="s">
        <v>23</v>
      </c>
      <c r="D144" s="4" t="s">
        <v>276</v>
      </c>
      <c r="E144" s="41">
        <v>0</v>
      </c>
      <c r="F144" t="s">
        <v>303</v>
      </c>
    </row>
    <row r="145" spans="1:6">
      <c r="A145" s="7"/>
      <c r="B145" s="170"/>
      <c r="C145" s="44" t="s">
        <v>24</v>
      </c>
      <c r="D145" s="4" t="s">
        <v>276</v>
      </c>
      <c r="E145" s="41">
        <v>0</v>
      </c>
      <c r="F145" t="s">
        <v>303</v>
      </c>
    </row>
    <row r="146" spans="1:6">
      <c r="A146" s="7"/>
      <c r="B146" s="170"/>
      <c r="C146" s="44" t="s">
        <v>532</v>
      </c>
      <c r="D146" s="4" t="s">
        <v>276</v>
      </c>
      <c r="E146" s="41"/>
    </row>
    <row r="147" spans="1:6">
      <c r="A147" s="7"/>
      <c r="B147" s="169"/>
      <c r="C147" s="44" t="s">
        <v>533</v>
      </c>
      <c r="D147" s="4" t="s">
        <v>276</v>
      </c>
      <c r="E147" s="41">
        <v>1</v>
      </c>
      <c r="F147" t="s">
        <v>303</v>
      </c>
    </row>
    <row r="148" spans="1:6">
      <c r="A148" s="7"/>
      <c r="B148" s="168">
        <v>82</v>
      </c>
      <c r="C148" s="44" t="s">
        <v>21</v>
      </c>
      <c r="D148" s="4" t="s">
        <v>276</v>
      </c>
      <c r="E148" s="41">
        <v>0</v>
      </c>
      <c r="F148" t="s">
        <v>303</v>
      </c>
    </row>
    <row r="149" spans="1:6">
      <c r="A149" s="7"/>
      <c r="B149" s="170"/>
      <c r="C149" s="4" t="s">
        <v>643</v>
      </c>
      <c r="D149" s="4" t="s">
        <v>276</v>
      </c>
      <c r="E149" s="41"/>
    </row>
    <row r="150" spans="1:6">
      <c r="A150" s="7"/>
      <c r="B150" s="169"/>
      <c r="C150" s="4" t="s">
        <v>623</v>
      </c>
      <c r="D150" s="4" t="s">
        <v>627</v>
      </c>
      <c r="E150" s="41" t="s">
        <v>178</v>
      </c>
    </row>
    <row r="151" spans="1:6">
      <c r="A151" s="7"/>
      <c r="C151" s="266" t="s">
        <v>535</v>
      </c>
      <c r="D151" s="267"/>
      <c r="E151" s="268"/>
    </row>
    <row r="152" spans="1:6">
      <c r="A152" s="7"/>
      <c r="B152" s="97" t="s">
        <v>644</v>
      </c>
      <c r="C152" s="269" t="s">
        <v>536</v>
      </c>
      <c r="D152" s="270"/>
      <c r="E152" s="271"/>
      <c r="F152" t="s">
        <v>537</v>
      </c>
    </row>
    <row r="153" spans="1:6">
      <c r="A153" s="7"/>
      <c r="B153" s="97" t="s">
        <v>645</v>
      </c>
      <c r="C153" s="269" t="s">
        <v>616</v>
      </c>
      <c r="D153" s="270"/>
      <c r="E153" s="271"/>
    </row>
    <row r="154" spans="1:6">
      <c r="A154" s="7"/>
      <c r="B154" s="97" t="s">
        <v>646</v>
      </c>
      <c r="C154" s="269" t="s">
        <v>617</v>
      </c>
      <c r="D154" s="270"/>
      <c r="E154" s="271"/>
    </row>
    <row r="155" spans="1:6" ht="60">
      <c r="A155" s="7"/>
      <c r="C155" s="249" t="s">
        <v>334</v>
      </c>
      <c r="D155" s="250"/>
      <c r="E155" s="251"/>
      <c r="F155" s="1" t="s">
        <v>448</v>
      </c>
    </row>
    <row r="156" spans="1:6">
      <c r="A156" s="7"/>
      <c r="C156" s="249" t="s">
        <v>335</v>
      </c>
      <c r="D156" s="250"/>
      <c r="E156" s="251"/>
    </row>
    <row r="157" spans="1:6">
      <c r="A157" s="7"/>
      <c r="B157" s="168">
        <v>89</v>
      </c>
      <c r="C157" s="39" t="s">
        <v>336</v>
      </c>
      <c r="D157" s="7" t="s">
        <v>276</v>
      </c>
      <c r="E157" s="7"/>
    </row>
    <row r="158" spans="1:6">
      <c r="A158" s="7"/>
      <c r="B158" s="170"/>
      <c r="C158" s="39" t="s">
        <v>337</v>
      </c>
      <c r="D158" s="7" t="s">
        <v>276</v>
      </c>
      <c r="E158" s="7"/>
    </row>
    <row r="159" spans="1:6">
      <c r="A159" s="7"/>
      <c r="B159" s="169"/>
      <c r="C159" s="7" t="s">
        <v>623</v>
      </c>
      <c r="D159" s="7" t="s">
        <v>627</v>
      </c>
      <c r="E159" s="7" t="s">
        <v>178</v>
      </c>
    </row>
    <row r="160" spans="1:6">
      <c r="A160" s="7"/>
      <c r="C160" s="249" t="s">
        <v>338</v>
      </c>
      <c r="D160" s="250"/>
      <c r="E160" s="251"/>
    </row>
    <row r="161" spans="1:8">
      <c r="A161" s="7"/>
      <c r="B161" s="168">
        <v>90</v>
      </c>
      <c r="C161" s="39" t="s">
        <v>292</v>
      </c>
      <c r="D161" s="7" t="s">
        <v>276</v>
      </c>
      <c r="E161" s="7"/>
    </row>
    <row r="162" spans="1:8">
      <c r="A162" s="7"/>
      <c r="B162" s="170"/>
      <c r="C162" s="39" t="s">
        <v>624</v>
      </c>
      <c r="D162" s="7" t="s">
        <v>276</v>
      </c>
      <c r="E162" s="7"/>
    </row>
    <row r="163" spans="1:8">
      <c r="A163" s="7"/>
      <c r="B163" s="169"/>
      <c r="C163" s="7" t="s">
        <v>623</v>
      </c>
      <c r="D163" s="7" t="s">
        <v>627</v>
      </c>
      <c r="E163" s="7" t="s">
        <v>178</v>
      </c>
    </row>
    <row r="164" spans="1:8">
      <c r="A164" s="7"/>
      <c r="C164" s="249" t="s">
        <v>339</v>
      </c>
      <c r="D164" s="250"/>
      <c r="E164" s="251"/>
    </row>
    <row r="165" spans="1:8">
      <c r="A165" s="7"/>
      <c r="B165" s="168">
        <v>91</v>
      </c>
      <c r="C165" s="39" t="s">
        <v>340</v>
      </c>
      <c r="D165" s="7" t="s">
        <v>276</v>
      </c>
      <c r="E165" s="7" t="s">
        <v>341</v>
      </c>
      <c r="F165" s="42" t="s">
        <v>449</v>
      </c>
    </row>
    <row r="166" spans="1:8">
      <c r="A166" s="7"/>
      <c r="B166" s="169"/>
      <c r="C166" s="7" t="s">
        <v>623</v>
      </c>
      <c r="D166" s="7" t="s">
        <v>514</v>
      </c>
      <c r="E166" s="7" t="s">
        <v>178</v>
      </c>
    </row>
    <row r="167" spans="1:8">
      <c r="A167" s="7"/>
      <c r="C167" s="249" t="s">
        <v>447</v>
      </c>
      <c r="D167" s="250"/>
      <c r="E167" s="251"/>
    </row>
    <row r="168" spans="1:8">
      <c r="A168" s="7"/>
      <c r="B168" s="22" t="s">
        <v>647</v>
      </c>
      <c r="C168" s="38" t="s">
        <v>455</v>
      </c>
      <c r="D168" s="40"/>
      <c r="E168" s="40"/>
    </row>
    <row r="169" spans="1:8">
      <c r="A169" s="7"/>
      <c r="C169" s="249" t="s">
        <v>342</v>
      </c>
      <c r="D169" s="255"/>
      <c r="E169" s="256"/>
      <c r="G169">
        <v>0</v>
      </c>
      <c r="H169">
        <v>138</v>
      </c>
    </row>
    <row r="170" spans="1:8">
      <c r="A170" s="7"/>
      <c r="C170" s="249" t="s">
        <v>344</v>
      </c>
      <c r="D170" s="250"/>
      <c r="E170" s="251"/>
      <c r="G170">
        <v>139</v>
      </c>
      <c r="H170">
        <v>277</v>
      </c>
    </row>
    <row r="171" spans="1:8">
      <c r="A171" s="7"/>
      <c r="C171" s="249" t="s">
        <v>345</v>
      </c>
      <c r="D171" s="255"/>
      <c r="E171" s="256"/>
      <c r="G171">
        <v>278</v>
      </c>
      <c r="H171">
        <v>416</v>
      </c>
    </row>
    <row r="172" spans="1:8">
      <c r="A172" s="7"/>
      <c r="B172" s="168">
        <v>137</v>
      </c>
      <c r="C172" s="39" t="s">
        <v>346</v>
      </c>
      <c r="D172" s="7" t="s">
        <v>347</v>
      </c>
      <c r="E172" s="7" t="s">
        <v>348</v>
      </c>
      <c r="G172">
        <v>417</v>
      </c>
      <c r="H172">
        <v>555</v>
      </c>
    </row>
    <row r="173" spans="1:8">
      <c r="A173" s="7"/>
      <c r="B173" s="170"/>
      <c r="C173" s="39" t="s">
        <v>349</v>
      </c>
      <c r="D173" s="7" t="s">
        <v>347</v>
      </c>
      <c r="E173" s="7" t="s">
        <v>350</v>
      </c>
    </row>
    <row r="174" spans="1:8">
      <c r="A174" s="7"/>
      <c r="B174" s="170"/>
      <c r="C174" s="39" t="s">
        <v>351</v>
      </c>
      <c r="D174" s="7" t="s">
        <v>347</v>
      </c>
      <c r="E174" s="7" t="s">
        <v>352</v>
      </c>
    </row>
    <row r="175" spans="1:8">
      <c r="A175" s="7"/>
      <c r="B175" s="169"/>
      <c r="C175" s="39" t="s">
        <v>353</v>
      </c>
      <c r="D175" s="7" t="s">
        <v>347</v>
      </c>
      <c r="E175" s="9" t="s">
        <v>354</v>
      </c>
    </row>
    <row r="176" spans="1:8">
      <c r="A176" s="7"/>
      <c r="C176" s="249" t="s">
        <v>355</v>
      </c>
      <c r="D176" s="255"/>
      <c r="E176" s="256"/>
    </row>
    <row r="177" spans="1:5">
      <c r="A177" s="7"/>
      <c r="B177" s="285">
        <v>138</v>
      </c>
      <c r="C177" s="46" t="s">
        <v>356</v>
      </c>
      <c r="D177" s="13" t="s">
        <v>347</v>
      </c>
      <c r="E177" s="13" t="s">
        <v>357</v>
      </c>
    </row>
    <row r="178" spans="1:5">
      <c r="A178" s="7"/>
      <c r="B178" s="286"/>
      <c r="C178" s="46" t="s">
        <v>260</v>
      </c>
      <c r="D178" s="13" t="s">
        <v>347</v>
      </c>
      <c r="E178" s="13" t="s">
        <v>357</v>
      </c>
    </row>
    <row r="179" spans="1:5">
      <c r="A179" s="7"/>
      <c r="B179" s="286"/>
      <c r="C179" s="46" t="s">
        <v>358</v>
      </c>
      <c r="D179" s="13" t="s">
        <v>347</v>
      </c>
      <c r="E179" s="13" t="s">
        <v>357</v>
      </c>
    </row>
    <row r="180" spans="1:5">
      <c r="A180" s="7"/>
      <c r="B180" s="287"/>
      <c r="C180" s="47" t="s">
        <v>359</v>
      </c>
      <c r="D180" s="13" t="s">
        <v>347</v>
      </c>
      <c r="E180" s="13" t="s">
        <v>357</v>
      </c>
    </row>
    <row r="181" spans="1:5">
      <c r="A181" s="7"/>
      <c r="C181" s="249" t="s">
        <v>648</v>
      </c>
      <c r="D181" s="250"/>
      <c r="E181" s="251"/>
    </row>
    <row r="182" spans="1:5">
      <c r="A182" s="7"/>
      <c r="B182" s="22" t="s">
        <v>651</v>
      </c>
      <c r="C182" s="263" t="s">
        <v>649</v>
      </c>
      <c r="D182" s="264"/>
      <c r="E182" s="265"/>
    </row>
    <row r="183" spans="1:5" s="104" customFormat="1">
      <c r="A183" s="102">
        <f>A24+1+277</f>
        <v>301</v>
      </c>
      <c r="B183" s="103"/>
      <c r="C183" s="252" t="s">
        <v>360</v>
      </c>
      <c r="D183" s="253"/>
      <c r="E183" s="254"/>
    </row>
    <row r="184" spans="1:5" s="91" customFormat="1" ht="30">
      <c r="A184" s="101"/>
      <c r="B184" s="185">
        <v>0</v>
      </c>
      <c r="C184" s="98" t="s">
        <v>618</v>
      </c>
      <c r="D184" s="87" t="s">
        <v>276</v>
      </c>
      <c r="E184" s="90" t="s">
        <v>619</v>
      </c>
    </row>
    <row r="185" spans="1:5" s="91" customFormat="1">
      <c r="A185" s="101"/>
      <c r="B185" s="186"/>
      <c r="C185" s="98" t="s">
        <v>623</v>
      </c>
      <c r="D185" s="87" t="s">
        <v>514</v>
      </c>
      <c r="E185" s="90" t="s">
        <v>178</v>
      </c>
    </row>
    <row r="186" spans="1:5">
      <c r="A186" s="7"/>
      <c r="C186" s="249" t="s">
        <v>361</v>
      </c>
      <c r="D186" s="250"/>
      <c r="E186" s="251"/>
    </row>
    <row r="187" spans="1:5">
      <c r="A187" s="7"/>
      <c r="B187" s="168">
        <v>1</v>
      </c>
      <c r="C187" s="43" t="s">
        <v>362</v>
      </c>
      <c r="D187" s="7" t="s">
        <v>276</v>
      </c>
      <c r="E187" s="7"/>
    </row>
    <row r="188" spans="1:5">
      <c r="A188" s="7"/>
      <c r="B188" s="170"/>
      <c r="C188" s="39" t="s">
        <v>363</v>
      </c>
      <c r="D188" s="7" t="s">
        <v>276</v>
      </c>
      <c r="E188" s="7"/>
    </row>
    <row r="189" spans="1:5">
      <c r="A189" s="7"/>
      <c r="B189" s="170"/>
      <c r="C189" s="39" t="s">
        <v>364</v>
      </c>
      <c r="D189" s="7" t="s">
        <v>276</v>
      </c>
      <c r="E189" s="7"/>
    </row>
    <row r="190" spans="1:5">
      <c r="A190" s="7"/>
      <c r="B190" s="170"/>
      <c r="C190" s="39" t="s">
        <v>365</v>
      </c>
      <c r="D190" s="7" t="s">
        <v>276</v>
      </c>
      <c r="E190" s="7"/>
    </row>
    <row r="191" spans="1:5">
      <c r="A191" s="7"/>
      <c r="B191" s="245">
        <v>2</v>
      </c>
      <c r="C191" s="39" t="s">
        <v>366</v>
      </c>
      <c r="D191" s="7" t="s">
        <v>276</v>
      </c>
      <c r="E191" s="7"/>
    </row>
    <row r="192" spans="1:5">
      <c r="A192" s="7"/>
      <c r="B192" s="245"/>
      <c r="C192" s="7" t="s">
        <v>623</v>
      </c>
      <c r="D192" s="7" t="s">
        <v>514</v>
      </c>
      <c r="E192" s="32" t="s">
        <v>178</v>
      </c>
    </row>
    <row r="193" spans="1:6">
      <c r="A193" s="7"/>
      <c r="C193" s="249" t="s">
        <v>367</v>
      </c>
      <c r="D193" s="255"/>
      <c r="E193" s="256"/>
    </row>
    <row r="194" spans="1:6">
      <c r="A194" s="7"/>
      <c r="B194" s="22" t="s">
        <v>652</v>
      </c>
      <c r="C194" s="37" t="s">
        <v>456</v>
      </c>
      <c r="D194" s="32"/>
      <c r="E194" s="32" t="s">
        <v>178</v>
      </c>
    </row>
    <row r="195" spans="1:6">
      <c r="A195" s="7"/>
      <c r="C195" s="249" t="s">
        <v>414</v>
      </c>
      <c r="D195" s="250"/>
      <c r="E195" s="251"/>
    </row>
    <row r="196" spans="1:6" s="104" customFormat="1">
      <c r="A196" s="102">
        <f>A183+1+4</f>
        <v>306</v>
      </c>
      <c r="B196" s="103"/>
      <c r="C196" s="252" t="s">
        <v>368</v>
      </c>
      <c r="D196" s="253"/>
      <c r="E196" s="254"/>
    </row>
    <row r="197" spans="1:6" s="100" customFormat="1">
      <c r="A197" s="99"/>
      <c r="B197" s="185">
        <v>0</v>
      </c>
      <c r="C197" s="99" t="s">
        <v>653</v>
      </c>
      <c r="D197" s="99"/>
      <c r="E197" s="99"/>
    </row>
    <row r="198" spans="1:6">
      <c r="A198" s="7"/>
      <c r="B198" s="187"/>
      <c r="C198" s="39" t="s">
        <v>369</v>
      </c>
      <c r="D198" s="7" t="s">
        <v>347</v>
      </c>
      <c r="E198" s="7">
        <v>1</v>
      </c>
    </row>
    <row r="199" spans="1:6">
      <c r="A199" s="7"/>
      <c r="B199" s="187"/>
      <c r="C199" s="39" t="s">
        <v>370</v>
      </c>
      <c r="D199" s="7" t="s">
        <v>347</v>
      </c>
      <c r="E199" s="7">
        <v>2</v>
      </c>
    </row>
    <row r="200" spans="1:6">
      <c r="A200" s="7"/>
      <c r="B200" s="186"/>
      <c r="C200" s="7" t="s">
        <v>623</v>
      </c>
      <c r="D200" s="7" t="s">
        <v>276</v>
      </c>
      <c r="E200" s="7" t="s">
        <v>178</v>
      </c>
    </row>
    <row r="201" spans="1:6">
      <c r="A201" s="7"/>
      <c r="C201" s="257" t="s">
        <v>371</v>
      </c>
      <c r="D201" s="258"/>
      <c r="E201" s="259"/>
    </row>
    <row r="202" spans="1:6">
      <c r="A202" s="7"/>
      <c r="C202" s="249" t="s">
        <v>457</v>
      </c>
      <c r="D202" s="250"/>
      <c r="E202" s="251"/>
      <c r="F202" t="s">
        <v>475</v>
      </c>
    </row>
    <row r="203" spans="1:6">
      <c r="A203" s="7"/>
      <c r="B203" s="168">
        <v>1</v>
      </c>
      <c r="C203" s="39" t="s">
        <v>372</v>
      </c>
      <c r="D203" s="7" t="s">
        <v>347</v>
      </c>
      <c r="E203" s="7">
        <v>1</v>
      </c>
    </row>
    <row r="204" spans="1:6">
      <c r="A204" s="7"/>
      <c r="B204" s="170"/>
      <c r="C204" s="249" t="s">
        <v>373</v>
      </c>
      <c r="D204" s="250"/>
      <c r="E204" s="251"/>
    </row>
    <row r="205" spans="1:6" ht="15" customHeight="1">
      <c r="A205" s="7"/>
      <c r="B205" s="170"/>
      <c r="C205" s="46" t="s">
        <v>621</v>
      </c>
      <c r="D205" s="13" t="s">
        <v>276</v>
      </c>
      <c r="E205" s="92"/>
    </row>
    <row r="206" spans="1:6">
      <c r="A206" s="7"/>
      <c r="B206" s="170"/>
      <c r="C206" s="46" t="s">
        <v>622</v>
      </c>
      <c r="D206" s="13" t="s">
        <v>276</v>
      </c>
      <c r="E206" s="92"/>
    </row>
    <row r="207" spans="1:6">
      <c r="A207" s="7"/>
      <c r="B207" s="170"/>
      <c r="C207" s="249" t="s">
        <v>374</v>
      </c>
      <c r="D207" s="250"/>
      <c r="E207" s="251"/>
    </row>
    <row r="208" spans="1:6">
      <c r="A208" s="7"/>
      <c r="B208" s="169"/>
      <c r="C208" s="39" t="s">
        <v>185</v>
      </c>
      <c r="D208" s="7" t="s">
        <v>276</v>
      </c>
      <c r="E208" s="7">
        <v>1</v>
      </c>
    </row>
    <row r="209" spans="1:8">
      <c r="A209" s="7"/>
      <c r="C209" s="249" t="s">
        <v>375</v>
      </c>
      <c r="D209" s="250"/>
      <c r="E209" s="251"/>
    </row>
    <row r="210" spans="1:8" ht="30">
      <c r="A210" s="7"/>
      <c r="B210" s="168">
        <v>2</v>
      </c>
      <c r="C210" s="39" t="s">
        <v>292</v>
      </c>
      <c r="D210" s="7" t="s">
        <v>276</v>
      </c>
      <c r="E210" s="9" t="s">
        <v>376</v>
      </c>
    </row>
    <row r="211" spans="1:8">
      <c r="A211" s="7"/>
      <c r="B211" s="169"/>
      <c r="C211" s="39" t="s">
        <v>623</v>
      </c>
      <c r="D211" s="7" t="s">
        <v>276</v>
      </c>
      <c r="E211" s="9" t="s">
        <v>178</v>
      </c>
    </row>
    <row r="212" spans="1:8">
      <c r="A212" s="7"/>
      <c r="B212" s="168">
        <v>3</v>
      </c>
      <c r="C212" s="39" t="s">
        <v>654</v>
      </c>
      <c r="D212" s="7" t="s">
        <v>276</v>
      </c>
      <c r="E212" s="246" t="s">
        <v>470</v>
      </c>
    </row>
    <row r="213" spans="1:8">
      <c r="A213" s="7"/>
      <c r="B213" s="170"/>
      <c r="C213" s="7" t="s">
        <v>655</v>
      </c>
      <c r="D213" s="7" t="s">
        <v>276</v>
      </c>
      <c r="E213" s="247"/>
    </row>
    <row r="214" spans="1:8">
      <c r="A214" s="7"/>
      <c r="B214" s="170"/>
      <c r="C214" s="7" t="s">
        <v>656</v>
      </c>
      <c r="D214" s="7" t="s">
        <v>276</v>
      </c>
      <c r="E214" s="247"/>
    </row>
    <row r="215" spans="1:8">
      <c r="A215" s="7"/>
      <c r="B215" s="169"/>
      <c r="C215" s="7" t="s">
        <v>623</v>
      </c>
      <c r="D215" s="7" t="s">
        <v>276</v>
      </c>
      <c r="E215" s="248"/>
      <c r="H215">
        <v>0</v>
      </c>
    </row>
    <row r="216" spans="1:8">
      <c r="A216" s="7"/>
      <c r="C216" s="249" t="s">
        <v>377</v>
      </c>
      <c r="D216" s="250"/>
      <c r="E216" s="251"/>
      <c r="H216">
        <v>1</v>
      </c>
    </row>
    <row r="217" spans="1:8">
      <c r="A217" s="7"/>
      <c r="B217" s="168">
        <v>4</v>
      </c>
      <c r="C217" s="39" t="s">
        <v>378</v>
      </c>
      <c r="D217" s="7" t="s">
        <v>276</v>
      </c>
      <c r="E217" s="7"/>
      <c r="H217">
        <v>2</v>
      </c>
    </row>
    <row r="218" spans="1:8">
      <c r="A218" s="7"/>
      <c r="B218" s="169"/>
      <c r="C218" s="39" t="s">
        <v>623</v>
      </c>
      <c r="D218" s="7" t="s">
        <v>514</v>
      </c>
      <c r="E218" s="7" t="s">
        <v>178</v>
      </c>
      <c r="H218">
        <v>3</v>
      </c>
    </row>
    <row r="219" spans="1:8">
      <c r="A219" s="7"/>
      <c r="C219" s="249" t="s">
        <v>620</v>
      </c>
      <c r="D219" s="250"/>
      <c r="E219" s="251"/>
      <c r="H219">
        <v>4</v>
      </c>
    </row>
    <row r="220" spans="1:8">
      <c r="A220" s="7"/>
      <c r="B220" s="22" t="s">
        <v>657</v>
      </c>
      <c r="C220" s="260" t="s">
        <v>458</v>
      </c>
      <c r="D220" s="261"/>
      <c r="E220" s="262"/>
      <c r="H220">
        <v>5</v>
      </c>
    </row>
    <row r="221" spans="1:8">
      <c r="A221" s="7"/>
      <c r="C221" s="249" t="s">
        <v>379</v>
      </c>
      <c r="D221" s="250"/>
      <c r="E221" s="251"/>
      <c r="H221">
        <v>6</v>
      </c>
    </row>
    <row r="222" spans="1:8">
      <c r="A222" s="7"/>
      <c r="C222" s="249" t="s">
        <v>471</v>
      </c>
      <c r="D222" s="250"/>
      <c r="E222" s="251"/>
      <c r="F222" t="s">
        <v>474</v>
      </c>
      <c r="H222">
        <v>7</v>
      </c>
    </row>
    <row r="223" spans="1:8">
      <c r="A223" s="7"/>
      <c r="B223" s="168">
        <v>65</v>
      </c>
      <c r="C223" s="39" t="s">
        <v>380</v>
      </c>
      <c r="D223" s="7" t="s">
        <v>276</v>
      </c>
      <c r="E223" s="7">
        <v>1</v>
      </c>
      <c r="H223">
        <v>8</v>
      </c>
    </row>
    <row r="224" spans="1:8">
      <c r="A224" s="7"/>
      <c r="B224" s="170"/>
      <c r="C224" s="39" t="s">
        <v>381</v>
      </c>
      <c r="D224" s="7" t="s">
        <v>276</v>
      </c>
      <c r="E224" s="7">
        <v>1</v>
      </c>
      <c r="H224">
        <v>9</v>
      </c>
    </row>
    <row r="225" spans="1:8">
      <c r="A225" s="7"/>
      <c r="B225" s="170"/>
      <c r="C225" s="39" t="s">
        <v>393</v>
      </c>
      <c r="D225" s="7" t="s">
        <v>276</v>
      </c>
      <c r="E225" s="7" t="s">
        <v>394</v>
      </c>
      <c r="H225">
        <v>10</v>
      </c>
    </row>
    <row r="226" spans="1:8">
      <c r="A226" s="7"/>
      <c r="B226" s="169"/>
      <c r="C226" s="7" t="s">
        <v>623</v>
      </c>
      <c r="D226" s="7" t="s">
        <v>276</v>
      </c>
      <c r="E226" s="7" t="s">
        <v>178</v>
      </c>
      <c r="H226">
        <v>11</v>
      </c>
    </row>
    <row r="227" spans="1:8">
      <c r="A227" s="7"/>
      <c r="C227" s="249" t="s">
        <v>383</v>
      </c>
      <c r="D227" s="250"/>
      <c r="E227" s="251"/>
      <c r="H227">
        <v>12</v>
      </c>
    </row>
    <row r="228" spans="1:8">
      <c r="A228" s="7"/>
      <c r="B228" s="168">
        <v>66</v>
      </c>
      <c r="C228" s="39" t="s">
        <v>658</v>
      </c>
      <c r="D228" s="7" t="s">
        <v>276</v>
      </c>
      <c r="E228" s="15"/>
      <c r="H228">
        <v>13</v>
      </c>
    </row>
    <row r="229" spans="1:8">
      <c r="A229" s="7"/>
      <c r="B229" s="170"/>
      <c r="C229" s="39" t="s">
        <v>382</v>
      </c>
      <c r="D229" s="7" t="s">
        <v>276</v>
      </c>
      <c r="E229" s="7"/>
      <c r="H229">
        <v>14</v>
      </c>
    </row>
    <row r="230" spans="1:8">
      <c r="A230" s="7"/>
      <c r="B230" s="169"/>
      <c r="C230" s="7" t="s">
        <v>623</v>
      </c>
      <c r="D230" s="7" t="s">
        <v>627</v>
      </c>
      <c r="E230" s="7" t="s">
        <v>178</v>
      </c>
    </row>
    <row r="231" spans="1:8">
      <c r="A231" s="7"/>
      <c r="C231" s="249" t="s">
        <v>384</v>
      </c>
      <c r="D231" s="250"/>
      <c r="E231" s="251"/>
      <c r="H231">
        <v>15</v>
      </c>
    </row>
    <row r="232" spans="1:8">
      <c r="A232" s="7"/>
      <c r="B232" s="168">
        <v>67</v>
      </c>
      <c r="C232" s="39" t="s">
        <v>385</v>
      </c>
      <c r="D232" s="7" t="s">
        <v>279</v>
      </c>
      <c r="E232" s="7"/>
    </row>
    <row r="233" spans="1:8">
      <c r="A233" s="7"/>
      <c r="B233" s="169"/>
      <c r="C233" s="7" t="s">
        <v>623</v>
      </c>
      <c r="D233" s="7" t="s">
        <v>627</v>
      </c>
      <c r="E233" s="7" t="s">
        <v>178</v>
      </c>
    </row>
    <row r="234" spans="1:8">
      <c r="A234" s="7"/>
      <c r="C234" s="249" t="s">
        <v>386</v>
      </c>
      <c r="D234" s="250"/>
      <c r="E234" s="251"/>
    </row>
    <row r="235" spans="1:8">
      <c r="A235" s="7"/>
      <c r="B235" s="168">
        <v>68</v>
      </c>
      <c r="C235" s="39" t="s">
        <v>387</v>
      </c>
      <c r="D235" s="7" t="s">
        <v>276</v>
      </c>
      <c r="E235" s="7"/>
    </row>
    <row r="236" spans="1:8">
      <c r="A236" s="7"/>
      <c r="B236" s="170"/>
      <c r="C236" s="39" t="s">
        <v>388</v>
      </c>
      <c r="D236" s="7" t="s">
        <v>276</v>
      </c>
      <c r="E236" s="7"/>
    </row>
    <row r="237" spans="1:8">
      <c r="A237" s="7"/>
      <c r="B237" s="170"/>
      <c r="C237" s="39" t="s">
        <v>389</v>
      </c>
      <c r="D237" s="7" t="s">
        <v>276</v>
      </c>
      <c r="E237" s="7"/>
    </row>
    <row r="238" spans="1:8">
      <c r="A238" s="7"/>
      <c r="B238" s="169"/>
      <c r="C238" s="39" t="s">
        <v>390</v>
      </c>
      <c r="D238" s="7" t="s">
        <v>276</v>
      </c>
      <c r="E238" s="7"/>
    </row>
    <row r="239" spans="1:8">
      <c r="A239" s="7"/>
      <c r="B239" s="168">
        <v>69</v>
      </c>
      <c r="C239" s="39" t="s">
        <v>391</v>
      </c>
      <c r="D239" s="7" t="s">
        <v>276</v>
      </c>
      <c r="E239" s="7"/>
    </row>
    <row r="240" spans="1:8">
      <c r="A240" s="7"/>
      <c r="B240" s="169"/>
      <c r="C240" s="7" t="s">
        <v>623</v>
      </c>
      <c r="D240" s="7" t="s">
        <v>514</v>
      </c>
      <c r="E240" s="7" t="s">
        <v>178</v>
      </c>
    </row>
    <row r="241" spans="1:6">
      <c r="A241" s="7"/>
      <c r="C241" s="249" t="s">
        <v>392</v>
      </c>
      <c r="D241" s="250"/>
      <c r="E241" s="251"/>
    </row>
    <row r="242" spans="1:6">
      <c r="A242" s="7"/>
      <c r="C242" s="249" t="s">
        <v>472</v>
      </c>
      <c r="D242" s="250"/>
      <c r="E242" s="251"/>
      <c r="F242" t="s">
        <v>459</v>
      </c>
    </row>
    <row r="243" spans="1:6">
      <c r="A243" s="7"/>
      <c r="B243" s="22" t="s">
        <v>659</v>
      </c>
      <c r="C243" s="263" t="s">
        <v>473</v>
      </c>
      <c r="D243" s="264"/>
      <c r="E243" s="265"/>
      <c r="F243" t="s">
        <v>460</v>
      </c>
    </row>
    <row r="244" spans="1:6">
      <c r="A244" s="7"/>
      <c r="B244" s="3" t="s">
        <v>660</v>
      </c>
      <c r="C244" s="263" t="s">
        <v>461</v>
      </c>
      <c r="D244" s="264"/>
      <c r="E244" s="265"/>
    </row>
    <row r="245" spans="1:6">
      <c r="A245" s="7"/>
      <c r="B245" s="22" t="s">
        <v>661</v>
      </c>
      <c r="C245" s="263" t="s">
        <v>462</v>
      </c>
      <c r="D245" s="264"/>
      <c r="E245" s="265"/>
    </row>
    <row r="246" spans="1:6">
      <c r="A246" s="7"/>
      <c r="C246" s="249" t="s">
        <v>395</v>
      </c>
      <c r="D246" s="250"/>
      <c r="E246" s="251"/>
    </row>
    <row r="247" spans="1:6">
      <c r="A247" s="7"/>
      <c r="C247" s="249" t="s">
        <v>396</v>
      </c>
      <c r="D247" s="250"/>
      <c r="E247" s="251"/>
    </row>
    <row r="248" spans="1:6" ht="30">
      <c r="A248" s="7"/>
      <c r="B248" s="3" t="s">
        <v>662</v>
      </c>
      <c r="C248" s="39" t="s">
        <v>678</v>
      </c>
      <c r="D248" s="7"/>
      <c r="E248" s="9" t="s">
        <v>444</v>
      </c>
      <c r="F248" t="s">
        <v>441</v>
      </c>
    </row>
    <row r="249" spans="1:6" ht="30">
      <c r="A249" s="7"/>
      <c r="B249" s="3" t="s">
        <v>663</v>
      </c>
      <c r="C249" s="39" t="s">
        <v>398</v>
      </c>
      <c r="D249" s="7"/>
      <c r="E249" s="9" t="s">
        <v>445</v>
      </c>
      <c r="F249" t="s">
        <v>442</v>
      </c>
    </row>
    <row r="250" spans="1:6" ht="30">
      <c r="A250" s="7"/>
      <c r="B250" s="3" t="s">
        <v>664</v>
      </c>
      <c r="C250" s="39" t="s">
        <v>397</v>
      </c>
      <c r="D250" s="7"/>
      <c r="E250" s="9" t="s">
        <v>446</v>
      </c>
      <c r="F250" t="s">
        <v>443</v>
      </c>
    </row>
    <row r="251" spans="1:6">
      <c r="A251" s="7"/>
      <c r="B251" s="3" t="s">
        <v>665</v>
      </c>
      <c r="C251" s="39" t="s">
        <v>399</v>
      </c>
      <c r="D251" s="7"/>
      <c r="E251" s="7"/>
    </row>
    <row r="252" spans="1:6">
      <c r="A252" s="7"/>
      <c r="B252" s="3" t="s">
        <v>666</v>
      </c>
      <c r="C252" s="39" t="s">
        <v>400</v>
      </c>
      <c r="D252" s="7"/>
      <c r="E252" s="7"/>
    </row>
    <row r="253" spans="1:6">
      <c r="A253" s="7"/>
      <c r="B253" s="3" t="s">
        <v>667</v>
      </c>
      <c r="C253" s="39" t="s">
        <v>401</v>
      </c>
      <c r="D253" s="7"/>
      <c r="E253" s="7"/>
    </row>
    <row r="254" spans="1:6">
      <c r="A254" s="7"/>
      <c r="B254" s="3" t="s">
        <v>668</v>
      </c>
      <c r="C254" s="39" t="s">
        <v>402</v>
      </c>
      <c r="D254" s="7"/>
      <c r="E254" s="7"/>
    </row>
    <row r="255" spans="1:6">
      <c r="A255" s="7"/>
      <c r="B255" s="3" t="s">
        <v>669</v>
      </c>
      <c r="C255" s="39" t="s">
        <v>403</v>
      </c>
      <c r="D255" s="7"/>
      <c r="E255" s="7"/>
    </row>
    <row r="256" spans="1:6">
      <c r="A256" s="7"/>
      <c r="B256" s="3" t="s">
        <v>670</v>
      </c>
      <c r="C256" s="39" t="s">
        <v>404</v>
      </c>
      <c r="D256" s="7"/>
      <c r="E256" s="7"/>
    </row>
    <row r="257" spans="1:5">
      <c r="A257" s="7"/>
      <c r="B257" s="3" t="s">
        <v>671</v>
      </c>
      <c r="C257" s="39" t="s">
        <v>405</v>
      </c>
      <c r="D257" s="7"/>
      <c r="E257" s="7"/>
    </row>
    <row r="258" spans="1:5">
      <c r="A258" s="7"/>
      <c r="B258" s="3" t="s">
        <v>672</v>
      </c>
      <c r="C258" s="39" t="s">
        <v>406</v>
      </c>
      <c r="D258" s="7"/>
      <c r="E258" s="7"/>
    </row>
    <row r="259" spans="1:5">
      <c r="A259" s="7"/>
      <c r="B259" s="3" t="s">
        <v>673</v>
      </c>
      <c r="C259" s="39" t="s">
        <v>407</v>
      </c>
      <c r="D259" s="7"/>
      <c r="E259" s="7"/>
    </row>
    <row r="260" spans="1:5">
      <c r="A260" s="7"/>
      <c r="B260" s="3" t="s">
        <v>674</v>
      </c>
      <c r="C260" s="39" t="s">
        <v>408</v>
      </c>
      <c r="D260" s="7"/>
      <c r="E260" s="7"/>
    </row>
    <row r="261" spans="1:5">
      <c r="A261" s="7"/>
      <c r="B261" s="3" t="s">
        <v>675</v>
      </c>
      <c r="C261" s="39" t="s">
        <v>409</v>
      </c>
      <c r="D261" s="7"/>
      <c r="E261" s="7"/>
    </row>
    <row r="262" spans="1:5">
      <c r="A262" s="7"/>
      <c r="B262" s="3" t="s">
        <v>676</v>
      </c>
      <c r="C262" s="39" t="s">
        <v>410</v>
      </c>
      <c r="D262" s="7"/>
      <c r="E262" s="7"/>
    </row>
    <row r="263" spans="1:5">
      <c r="A263" s="7"/>
      <c r="B263" s="3" t="s">
        <v>677</v>
      </c>
      <c r="C263" s="39" t="s">
        <v>411</v>
      </c>
      <c r="D263" s="7"/>
      <c r="E263" s="7"/>
    </row>
    <row r="264" spans="1:5">
      <c r="A264" s="7"/>
      <c r="C264" s="249" t="s">
        <v>412</v>
      </c>
      <c r="D264" s="250"/>
      <c r="E264" s="251"/>
    </row>
    <row r="265" spans="1:5">
      <c r="A265" s="7"/>
      <c r="C265" s="249" t="s">
        <v>413</v>
      </c>
      <c r="D265" s="250"/>
      <c r="E265" s="251"/>
    </row>
    <row r="266" spans="1:5">
      <c r="C266" s="39"/>
      <c r="D266" s="7"/>
      <c r="E266" s="7"/>
    </row>
    <row r="267" spans="1:5">
      <c r="C267" s="39"/>
      <c r="D267" s="7"/>
      <c r="E267" s="7"/>
    </row>
    <row r="268" spans="1:5">
      <c r="C268" s="39"/>
      <c r="D268" s="7"/>
      <c r="E268" s="7"/>
    </row>
    <row r="269" spans="1:5">
      <c r="C269" s="39"/>
      <c r="D269" s="7"/>
      <c r="E269" s="7"/>
    </row>
    <row r="270" spans="1:5">
      <c r="C270" s="39"/>
      <c r="D270" s="7"/>
      <c r="E270" s="7"/>
    </row>
    <row r="271" spans="1:5">
      <c r="C271" s="39"/>
      <c r="D271" s="7"/>
      <c r="E271" s="7"/>
    </row>
    <row r="272" spans="1:5">
      <c r="C272" s="39"/>
      <c r="D272" s="7"/>
      <c r="E272" s="7"/>
    </row>
    <row r="273" spans="3:5">
      <c r="C273" s="39"/>
      <c r="D273" s="7"/>
      <c r="E273" s="7"/>
    </row>
  </sheetData>
  <mergeCells count="142">
    <mergeCell ref="C156:E156"/>
    <mergeCell ref="C160:E160"/>
    <mergeCell ref="C167:E167"/>
    <mergeCell ref="C164:E164"/>
    <mergeCell ref="C155:E155"/>
    <mergeCell ref="B172:B175"/>
    <mergeCell ref="B177:B180"/>
    <mergeCell ref="C169:E169"/>
    <mergeCell ref="C170:E170"/>
    <mergeCell ref="C171:E171"/>
    <mergeCell ref="C176:E176"/>
    <mergeCell ref="B144:B147"/>
    <mergeCell ref="B148:B150"/>
    <mergeCell ref="B157:B159"/>
    <mergeCell ref="B161:B163"/>
    <mergeCell ref="B165:B166"/>
    <mergeCell ref="B184:B185"/>
    <mergeCell ref="B187:B190"/>
    <mergeCell ref="B191:B192"/>
    <mergeCell ref="B197:B200"/>
    <mergeCell ref="C2:E2"/>
    <mergeCell ref="C31:E31"/>
    <mergeCell ref="C40:E40"/>
    <mergeCell ref="B32:B35"/>
    <mergeCell ref="B36:B39"/>
    <mergeCell ref="C9:E9"/>
    <mergeCell ref="B54:B55"/>
    <mergeCell ref="B61:B64"/>
    <mergeCell ref="B84:B86"/>
    <mergeCell ref="B67:B69"/>
    <mergeCell ref="C14:E14"/>
    <mergeCell ref="B44:B46"/>
    <mergeCell ref="B49:B52"/>
    <mergeCell ref="B57:B59"/>
    <mergeCell ref="C138:E138"/>
    <mergeCell ref="C122:E122"/>
    <mergeCell ref="C127:E127"/>
    <mergeCell ref="C117:E117"/>
    <mergeCell ref="B3:B6"/>
    <mergeCell ref="B7:B8"/>
    <mergeCell ref="B10:B13"/>
    <mergeCell ref="B15:B17"/>
    <mergeCell ref="B18:B19"/>
    <mergeCell ref="B25:B27"/>
    <mergeCell ref="B28:B29"/>
    <mergeCell ref="B41:B42"/>
    <mergeCell ref="B103:B104"/>
    <mergeCell ref="B106:B109"/>
    <mergeCell ref="B112:B115"/>
    <mergeCell ref="B118:B121"/>
    <mergeCell ref="B123:B126"/>
    <mergeCell ref="B128:B131"/>
    <mergeCell ref="B87:B90"/>
    <mergeCell ref="B98:B101"/>
    <mergeCell ref="B134:B137"/>
    <mergeCell ref="C43:E43"/>
    <mergeCell ref="C105:E105"/>
    <mergeCell ref="C110:E110"/>
    <mergeCell ref="C111:E111"/>
    <mergeCell ref="C116:E116"/>
    <mergeCell ref="C132:E132"/>
    <mergeCell ref="C133:E133"/>
    <mergeCell ref="C23:E23"/>
    <mergeCell ref="C24:E24"/>
    <mergeCell ref="C30:E30"/>
    <mergeCell ref="C102:E102"/>
    <mergeCell ref="C47:E47"/>
    <mergeCell ref="C48:E48"/>
    <mergeCell ref="C53:E53"/>
    <mergeCell ref="C56:E56"/>
    <mergeCell ref="C73:E73"/>
    <mergeCell ref="C74:E74"/>
    <mergeCell ref="C75:E75"/>
    <mergeCell ref="C76:E76"/>
    <mergeCell ref="C77:E77"/>
    <mergeCell ref="C78:E78"/>
    <mergeCell ref="C79:E79"/>
    <mergeCell ref="C91:E91"/>
    <mergeCell ref="C83:E83"/>
    <mergeCell ref="C139:E139"/>
    <mergeCell ref="C140:E140"/>
    <mergeCell ref="C141:E141"/>
    <mergeCell ref="C143:E143"/>
    <mergeCell ref="C151:E151"/>
    <mergeCell ref="C152:E152"/>
    <mergeCell ref="C153:E153"/>
    <mergeCell ref="C154:E154"/>
    <mergeCell ref="C60:E60"/>
    <mergeCell ref="C142:E142"/>
    <mergeCell ref="C82:E82"/>
    <mergeCell ref="C95:E95"/>
    <mergeCell ref="C96:E96"/>
    <mergeCell ref="C92:E92"/>
    <mergeCell ref="C93:E93"/>
    <mergeCell ref="C94:E94"/>
    <mergeCell ref="C97:E97"/>
    <mergeCell ref="C65:E65"/>
    <mergeCell ref="C66:E66"/>
    <mergeCell ref="C70:E70"/>
    <mergeCell ref="C80:E80"/>
    <mergeCell ref="C81:E81"/>
    <mergeCell ref="C71:E71"/>
    <mergeCell ref="C72:E72"/>
    <mergeCell ref="C264:E264"/>
    <mergeCell ref="C265:E265"/>
    <mergeCell ref="C182:E182"/>
    <mergeCell ref="C195:E195"/>
    <mergeCell ref="C241:E241"/>
    <mergeCell ref="C242:E242"/>
    <mergeCell ref="C243:E243"/>
    <mergeCell ref="C246:E246"/>
    <mergeCell ref="C247:E247"/>
    <mergeCell ref="C221:E221"/>
    <mergeCell ref="C222:E222"/>
    <mergeCell ref="C227:E227"/>
    <mergeCell ref="C231:E231"/>
    <mergeCell ref="C234:E234"/>
    <mergeCell ref="C204:E204"/>
    <mergeCell ref="C207:E207"/>
    <mergeCell ref="C244:E244"/>
    <mergeCell ref="C245:E245"/>
    <mergeCell ref="C209:E209"/>
    <mergeCell ref="C216:E216"/>
    <mergeCell ref="B210:B211"/>
    <mergeCell ref="B212:B215"/>
    <mergeCell ref="E212:E215"/>
    <mergeCell ref="B223:B226"/>
    <mergeCell ref="B228:B230"/>
    <mergeCell ref="B232:B233"/>
    <mergeCell ref="B235:B238"/>
    <mergeCell ref="B239:B240"/>
    <mergeCell ref="C181:E181"/>
    <mergeCell ref="C183:E183"/>
    <mergeCell ref="C186:E186"/>
    <mergeCell ref="C193:E193"/>
    <mergeCell ref="C196:E196"/>
    <mergeCell ref="C201:E201"/>
    <mergeCell ref="C219:E219"/>
    <mergeCell ref="C220:E220"/>
    <mergeCell ref="C202:E202"/>
    <mergeCell ref="B203:B208"/>
    <mergeCell ref="B217:B218"/>
  </mergeCells>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683CC-5A28-445A-98C9-FBFF399CB5D4}">
  <dimension ref="A2:H20"/>
  <sheetViews>
    <sheetView workbookViewId="0">
      <selection activeCell="G17" sqref="G17"/>
    </sheetView>
  </sheetViews>
  <sheetFormatPr defaultRowHeight="15"/>
  <sheetData>
    <row r="2" spans="1:8">
      <c r="A2" s="96">
        <v>33</v>
      </c>
      <c r="B2">
        <v>35</v>
      </c>
      <c r="C2">
        <v>0</v>
      </c>
      <c r="G2">
        <v>89</v>
      </c>
      <c r="H2">
        <v>91</v>
      </c>
    </row>
    <row r="3" spans="1:8">
      <c r="A3" s="96">
        <v>36</v>
      </c>
      <c r="B3">
        <v>38</v>
      </c>
      <c r="C3">
        <v>1</v>
      </c>
      <c r="G3">
        <v>92</v>
      </c>
      <c r="H3">
        <v>94</v>
      </c>
    </row>
    <row r="4" spans="1:8">
      <c r="A4" s="96">
        <v>39</v>
      </c>
      <c r="B4">
        <v>41</v>
      </c>
      <c r="C4">
        <v>2</v>
      </c>
      <c r="G4">
        <v>95</v>
      </c>
      <c r="H4">
        <v>97</v>
      </c>
    </row>
    <row r="5" spans="1:8">
      <c r="A5" s="96">
        <v>42</v>
      </c>
      <c r="B5">
        <v>44</v>
      </c>
      <c r="C5">
        <v>3</v>
      </c>
      <c r="G5">
        <v>98</v>
      </c>
      <c r="H5">
        <v>100</v>
      </c>
    </row>
    <row r="6" spans="1:8">
      <c r="A6" s="96">
        <v>45</v>
      </c>
      <c r="B6">
        <v>47</v>
      </c>
      <c r="C6">
        <v>4</v>
      </c>
      <c r="G6">
        <v>101</v>
      </c>
      <c r="H6">
        <v>103</v>
      </c>
    </row>
    <row r="7" spans="1:8">
      <c r="A7" s="96">
        <v>48</v>
      </c>
      <c r="B7">
        <v>50</v>
      </c>
      <c r="C7">
        <v>5</v>
      </c>
      <c r="G7">
        <v>104</v>
      </c>
      <c r="H7">
        <v>106</v>
      </c>
    </row>
    <row r="8" spans="1:8">
      <c r="A8" s="96">
        <v>51</v>
      </c>
      <c r="B8">
        <v>53</v>
      </c>
      <c r="C8">
        <v>6</v>
      </c>
      <c r="G8">
        <v>107</v>
      </c>
      <c r="H8">
        <v>109</v>
      </c>
    </row>
    <row r="9" spans="1:8">
      <c r="A9" s="96">
        <v>54</v>
      </c>
      <c r="B9">
        <v>56</v>
      </c>
      <c r="C9">
        <v>7</v>
      </c>
      <c r="G9">
        <v>110</v>
      </c>
      <c r="H9">
        <v>112</v>
      </c>
    </row>
    <row r="10" spans="1:8">
      <c r="A10" s="96">
        <v>57</v>
      </c>
      <c r="B10">
        <v>59</v>
      </c>
      <c r="C10">
        <v>8</v>
      </c>
      <c r="G10">
        <v>113</v>
      </c>
      <c r="H10">
        <v>115</v>
      </c>
    </row>
    <row r="11" spans="1:8">
      <c r="A11" s="96">
        <v>60</v>
      </c>
      <c r="B11">
        <v>62</v>
      </c>
      <c r="C11">
        <v>9</v>
      </c>
      <c r="G11">
        <v>116</v>
      </c>
      <c r="H11">
        <v>118</v>
      </c>
    </row>
    <row r="12" spans="1:8">
      <c r="A12" s="96">
        <v>63</v>
      </c>
      <c r="B12">
        <v>65</v>
      </c>
      <c r="C12">
        <v>10</v>
      </c>
      <c r="G12">
        <v>119</v>
      </c>
      <c r="H12">
        <v>121</v>
      </c>
    </row>
    <row r="13" spans="1:8">
      <c r="A13" s="96">
        <v>66</v>
      </c>
      <c r="B13">
        <v>68</v>
      </c>
      <c r="C13">
        <v>11</v>
      </c>
      <c r="G13">
        <v>122</v>
      </c>
      <c r="H13">
        <v>124</v>
      </c>
    </row>
    <row r="14" spans="1:8">
      <c r="A14" s="96">
        <v>69</v>
      </c>
      <c r="B14">
        <v>71</v>
      </c>
      <c r="C14">
        <v>12</v>
      </c>
      <c r="G14">
        <v>125</v>
      </c>
      <c r="H14">
        <v>127</v>
      </c>
    </row>
    <row r="15" spans="1:8">
      <c r="A15" s="96">
        <v>72</v>
      </c>
      <c r="B15">
        <v>74</v>
      </c>
      <c r="C15">
        <v>13</v>
      </c>
      <c r="G15">
        <v>128</v>
      </c>
      <c r="H15">
        <v>130</v>
      </c>
    </row>
    <row r="16" spans="1:8">
      <c r="A16" s="96">
        <v>75</v>
      </c>
      <c r="B16">
        <v>77</v>
      </c>
      <c r="C16">
        <v>14</v>
      </c>
      <c r="G16">
        <v>131</v>
      </c>
      <c r="H16">
        <v>133</v>
      </c>
    </row>
    <row r="17" spans="1:8">
      <c r="A17" s="96">
        <v>78</v>
      </c>
      <c r="B17">
        <v>80</v>
      </c>
      <c r="C17">
        <v>15</v>
      </c>
      <c r="G17">
        <v>134</v>
      </c>
      <c r="H17">
        <v>136</v>
      </c>
    </row>
    <row r="18" spans="1:8">
      <c r="A18" s="96">
        <v>81</v>
      </c>
      <c r="B18">
        <v>83</v>
      </c>
    </row>
    <row r="19" spans="1:8">
      <c r="A19" s="96">
        <v>84</v>
      </c>
      <c r="B19">
        <v>86</v>
      </c>
    </row>
    <row r="20" spans="1:8">
      <c r="A20" s="96">
        <v>87</v>
      </c>
      <c r="B20">
        <v>89</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F3189-25E4-49A6-BF3B-F4A109D3993F}">
  <dimension ref="A1"/>
  <sheetViews>
    <sheetView topLeftCell="A7" workbookViewId="0">
      <selection activeCell="G17" sqref="G17"/>
    </sheetView>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4CF87-189D-4218-8E36-01FA0EE812FF}">
  <dimension ref="A1:E95"/>
  <sheetViews>
    <sheetView topLeftCell="A16" workbookViewId="0">
      <selection activeCell="D42" sqref="D42"/>
    </sheetView>
  </sheetViews>
  <sheetFormatPr defaultRowHeight="15"/>
  <cols>
    <col min="1" max="1" width="12.7109375" customWidth="1"/>
    <col min="2" max="2" width="22.140625" customWidth="1"/>
    <col min="3" max="3" width="14.85546875" customWidth="1"/>
    <col min="4" max="4" width="90.140625" customWidth="1"/>
    <col min="5" max="5" width="76.140625" customWidth="1"/>
  </cols>
  <sheetData>
    <row r="1" spans="1:5">
      <c r="A1" s="3" t="s">
        <v>0</v>
      </c>
      <c r="B1" s="3" t="s">
        <v>1</v>
      </c>
      <c r="C1" s="3" t="s">
        <v>2</v>
      </c>
      <c r="D1" s="3" t="s">
        <v>3</v>
      </c>
    </row>
    <row r="2" spans="1:5" ht="32.25" customHeight="1">
      <c r="A2" s="3">
        <v>1</v>
      </c>
      <c r="B2" s="293" t="s">
        <v>59</v>
      </c>
      <c r="C2" s="294"/>
      <c r="D2" s="294"/>
    </row>
    <row r="3" spans="1:5">
      <c r="A3" s="3"/>
      <c r="B3" s="6" t="s">
        <v>60</v>
      </c>
      <c r="C3" s="6" t="s">
        <v>6</v>
      </c>
      <c r="D3" s="6" t="s">
        <v>61</v>
      </c>
    </row>
    <row r="4" spans="1:5">
      <c r="A4" s="3"/>
      <c r="B4" s="6" t="s">
        <v>62</v>
      </c>
      <c r="C4" s="6" t="s">
        <v>63</v>
      </c>
      <c r="D4" s="6" t="s">
        <v>64</v>
      </c>
    </row>
    <row r="5" spans="1:5">
      <c r="A5" s="3"/>
      <c r="B5" s="6"/>
      <c r="C5" s="6"/>
      <c r="D5" s="6"/>
    </row>
    <row r="6" spans="1:5" ht="30" customHeight="1">
      <c r="A6" s="3">
        <v>2</v>
      </c>
      <c r="B6" s="288" t="s">
        <v>65</v>
      </c>
      <c r="C6" s="289"/>
      <c r="D6" s="290"/>
    </row>
    <row r="7" spans="1:5">
      <c r="A7" s="3"/>
      <c r="B7" s="6" t="s">
        <v>66</v>
      </c>
      <c r="C7" s="6" t="s">
        <v>6</v>
      </c>
      <c r="D7" s="6" t="s">
        <v>67</v>
      </c>
    </row>
    <row r="8" spans="1:5">
      <c r="A8" s="3"/>
      <c r="B8" s="6" t="s">
        <v>70</v>
      </c>
      <c r="C8" s="6" t="s">
        <v>6</v>
      </c>
      <c r="D8" s="6" t="s">
        <v>68</v>
      </c>
    </row>
    <row r="9" spans="1:5">
      <c r="A9" s="3"/>
      <c r="B9" s="6" t="s">
        <v>75</v>
      </c>
      <c r="C9" s="6" t="s">
        <v>63</v>
      </c>
      <c r="D9" s="6" t="s">
        <v>69</v>
      </c>
      <c r="E9" s="14" t="s">
        <v>71</v>
      </c>
    </row>
    <row r="10" spans="1:5">
      <c r="A10" s="3"/>
      <c r="B10" s="6" t="s">
        <v>72</v>
      </c>
      <c r="C10" s="6" t="s">
        <v>63</v>
      </c>
      <c r="D10" s="6" t="s">
        <v>73</v>
      </c>
    </row>
    <row r="11" spans="1:5" ht="60">
      <c r="A11" s="3"/>
      <c r="B11" s="6" t="s">
        <v>74</v>
      </c>
      <c r="C11" s="6" t="s">
        <v>63</v>
      </c>
      <c r="D11" s="5" t="s">
        <v>76</v>
      </c>
    </row>
    <row r="12" spans="1:5">
      <c r="A12" s="3"/>
      <c r="B12" s="6" t="s">
        <v>78</v>
      </c>
      <c r="C12" s="6" t="s">
        <v>77</v>
      </c>
      <c r="D12" s="6" t="s">
        <v>79</v>
      </c>
    </row>
    <row r="13" spans="1:5">
      <c r="A13" s="3"/>
      <c r="B13" s="6"/>
      <c r="C13" s="6"/>
      <c r="D13" s="6"/>
    </row>
    <row r="14" spans="1:5" ht="30" customHeight="1">
      <c r="A14" s="3">
        <v>3</v>
      </c>
      <c r="B14" s="288" t="s">
        <v>80</v>
      </c>
      <c r="C14" s="289"/>
      <c r="D14" s="290"/>
    </row>
    <row r="15" spans="1:5">
      <c r="A15" s="3"/>
      <c r="B15" s="6" t="s">
        <v>81</v>
      </c>
      <c r="C15" s="6" t="s">
        <v>6</v>
      </c>
      <c r="D15" s="6" t="s">
        <v>82</v>
      </c>
    </row>
    <row r="16" spans="1:5">
      <c r="A16" s="3"/>
      <c r="B16" s="6" t="s">
        <v>83</v>
      </c>
      <c r="C16" s="6" t="s">
        <v>25</v>
      </c>
      <c r="D16" s="6" t="s">
        <v>84</v>
      </c>
    </row>
    <row r="17" spans="1:4">
      <c r="A17" s="3"/>
      <c r="B17" s="6" t="s">
        <v>85</v>
      </c>
      <c r="C17" s="6" t="s">
        <v>5</v>
      </c>
      <c r="D17" s="6" t="s">
        <v>86</v>
      </c>
    </row>
    <row r="18" spans="1:4">
      <c r="A18" s="3"/>
      <c r="B18" s="6" t="s">
        <v>87</v>
      </c>
      <c r="C18" s="6" t="s">
        <v>6</v>
      </c>
      <c r="D18" s="6" t="s">
        <v>88</v>
      </c>
    </row>
    <row r="19" spans="1:4">
      <c r="A19" s="3"/>
      <c r="B19" s="6" t="s">
        <v>89</v>
      </c>
      <c r="C19" s="6" t="s">
        <v>63</v>
      </c>
      <c r="D19" s="6" t="s">
        <v>90</v>
      </c>
    </row>
    <row r="20" spans="1:4">
      <c r="A20" s="3"/>
      <c r="B20" s="6"/>
      <c r="C20" s="6"/>
      <c r="D20" s="6"/>
    </row>
    <row r="21" spans="1:4">
      <c r="A21" s="3"/>
      <c r="B21" s="6"/>
      <c r="C21" s="6"/>
      <c r="D21" s="6"/>
    </row>
    <row r="22" spans="1:4">
      <c r="A22" s="3"/>
      <c r="B22" s="6"/>
      <c r="C22" s="6"/>
      <c r="D22" s="6"/>
    </row>
    <row r="23" spans="1:4">
      <c r="A23" s="3"/>
      <c r="B23" s="6"/>
      <c r="C23" s="6"/>
      <c r="D23" s="6"/>
    </row>
    <row r="24" spans="1:4">
      <c r="A24" s="3"/>
      <c r="B24" s="3"/>
      <c r="C24" s="3"/>
      <c r="D24" s="3"/>
    </row>
    <row r="25" spans="1:4" ht="30.75" customHeight="1">
      <c r="A25" s="3"/>
      <c r="B25" s="291" t="s">
        <v>94</v>
      </c>
      <c r="C25" s="289"/>
      <c r="D25" s="290"/>
    </row>
    <row r="26" spans="1:4" ht="19.5" customHeight="1">
      <c r="A26" s="7"/>
      <c r="B26" s="7" t="s">
        <v>7</v>
      </c>
      <c r="C26" s="7" t="s">
        <v>6</v>
      </c>
      <c r="D26" s="7" t="s">
        <v>33</v>
      </c>
    </row>
    <row r="27" spans="1:4" ht="19.5" customHeight="1">
      <c r="A27" s="7"/>
      <c r="B27" s="7" t="s">
        <v>36</v>
      </c>
      <c r="C27" s="7" t="s">
        <v>5</v>
      </c>
      <c r="D27" s="7" t="s">
        <v>37</v>
      </c>
    </row>
    <row r="28" spans="1:4" ht="19.5" customHeight="1">
      <c r="A28" s="7"/>
      <c r="B28" s="7" t="s">
        <v>34</v>
      </c>
      <c r="C28" s="7" t="s">
        <v>5</v>
      </c>
      <c r="D28" s="7" t="s">
        <v>35</v>
      </c>
    </row>
    <row r="29" spans="1:4" ht="19.5" customHeight="1">
      <c r="A29" s="7"/>
      <c r="B29" s="7"/>
      <c r="C29" s="7"/>
      <c r="D29" s="7"/>
    </row>
    <row r="30" spans="1:4" ht="29.25" customHeight="1">
      <c r="A30" s="7"/>
      <c r="B30" s="288" t="s">
        <v>40</v>
      </c>
      <c r="C30" s="289"/>
      <c r="D30" s="290"/>
    </row>
    <row r="31" spans="1:4" ht="19.5" customHeight="1">
      <c r="A31" s="7"/>
      <c r="B31" s="7" t="s">
        <v>7</v>
      </c>
      <c r="C31" s="7" t="s">
        <v>6</v>
      </c>
      <c r="D31" s="7" t="s">
        <v>38</v>
      </c>
    </row>
    <row r="32" spans="1:4" ht="19.5" customHeight="1">
      <c r="A32" s="7"/>
      <c r="B32" s="7" t="s">
        <v>36</v>
      </c>
      <c r="C32" s="7" t="s">
        <v>6</v>
      </c>
      <c r="D32" s="7" t="s">
        <v>39</v>
      </c>
    </row>
    <row r="33" spans="1:4" ht="21.75" customHeight="1">
      <c r="A33" s="7"/>
      <c r="B33" s="7" t="s">
        <v>41</v>
      </c>
      <c r="C33" s="7" t="s">
        <v>19</v>
      </c>
      <c r="D33" s="7" t="s">
        <v>42</v>
      </c>
    </row>
    <row r="34" spans="1:4" ht="19.5" customHeight="1">
      <c r="A34" s="7"/>
      <c r="B34" s="7"/>
      <c r="C34" s="7"/>
      <c r="D34" s="7"/>
    </row>
    <row r="35" spans="1:4" ht="30" customHeight="1">
      <c r="A35" s="7"/>
      <c r="B35" s="288" t="s">
        <v>43</v>
      </c>
      <c r="C35" s="289"/>
      <c r="D35" s="290"/>
    </row>
    <row r="36" spans="1:4" ht="19.5" customHeight="1">
      <c r="A36" s="7"/>
      <c r="B36" s="7" t="s">
        <v>7</v>
      </c>
      <c r="C36" s="7" t="s">
        <v>6</v>
      </c>
      <c r="D36" s="7" t="s">
        <v>44</v>
      </c>
    </row>
    <row r="37" spans="1:4" ht="19.5" customHeight="1">
      <c r="A37" s="7"/>
      <c r="B37" s="7" t="s">
        <v>41</v>
      </c>
      <c r="C37" s="7" t="s">
        <v>19</v>
      </c>
      <c r="D37" s="7" t="s">
        <v>16</v>
      </c>
    </row>
    <row r="38" spans="1:4" ht="19.5" customHeight="1">
      <c r="A38" s="7"/>
      <c r="B38" s="7"/>
      <c r="C38" s="7"/>
      <c r="D38" s="7"/>
    </row>
    <row r="39" spans="1:4" ht="30" customHeight="1">
      <c r="A39" s="7"/>
      <c r="B39" s="288" t="s">
        <v>45</v>
      </c>
      <c r="C39" s="289"/>
      <c r="D39" s="290"/>
    </row>
    <row r="40" spans="1:4" ht="19.5" customHeight="1">
      <c r="A40" s="7"/>
      <c r="B40" s="6" t="s">
        <v>7</v>
      </c>
      <c r="C40" s="6" t="s">
        <v>6</v>
      </c>
      <c r="D40" s="6" t="s">
        <v>46</v>
      </c>
    </row>
    <row r="41" spans="1:4" ht="19.5" customHeight="1">
      <c r="A41" s="7"/>
      <c r="B41" s="6" t="s">
        <v>115</v>
      </c>
      <c r="C41" s="6" t="s">
        <v>6</v>
      </c>
      <c r="D41" s="6" t="s">
        <v>116</v>
      </c>
    </row>
    <row r="42" spans="1:4" ht="96" customHeight="1">
      <c r="A42" s="7"/>
      <c r="B42" s="6" t="s">
        <v>47</v>
      </c>
      <c r="C42" s="6" t="s">
        <v>11</v>
      </c>
      <c r="D42" s="5" t="s">
        <v>101</v>
      </c>
    </row>
    <row r="43" spans="1:4" ht="19.5" customHeight="1">
      <c r="A43" s="7"/>
      <c r="B43" s="7"/>
      <c r="C43" s="7"/>
      <c r="D43" s="7"/>
    </row>
    <row r="44" spans="1:4" ht="40.5" customHeight="1">
      <c r="A44" s="7"/>
      <c r="B44" s="291" t="s">
        <v>95</v>
      </c>
      <c r="C44" s="289"/>
      <c r="D44" s="290"/>
    </row>
    <row r="45" spans="1:4" ht="19.5" customHeight="1">
      <c r="A45" s="7"/>
      <c r="B45" s="7" t="s">
        <v>7</v>
      </c>
      <c r="C45" s="7" t="s">
        <v>6</v>
      </c>
      <c r="D45" s="7" t="s">
        <v>48</v>
      </c>
    </row>
    <row r="46" spans="1:4" ht="19.5" customHeight="1">
      <c r="A46" s="7"/>
      <c r="B46" s="7" t="s">
        <v>15</v>
      </c>
      <c r="C46" s="7" t="s">
        <v>6</v>
      </c>
      <c r="D46" s="7" t="s">
        <v>53</v>
      </c>
    </row>
    <row r="47" spans="1:4" ht="93.75" customHeight="1">
      <c r="A47" s="6"/>
      <c r="B47" s="6" t="s">
        <v>49</v>
      </c>
      <c r="C47" s="6" t="s">
        <v>50</v>
      </c>
      <c r="D47" s="5" t="s">
        <v>51</v>
      </c>
    </row>
    <row r="48" spans="1:4" ht="19.5" customHeight="1">
      <c r="A48" s="7"/>
      <c r="B48" s="7"/>
      <c r="C48" s="7"/>
      <c r="D48" s="7"/>
    </row>
    <row r="49" spans="1:4" ht="47.25" customHeight="1">
      <c r="A49" s="7"/>
      <c r="B49" s="292" t="s">
        <v>107</v>
      </c>
      <c r="C49" s="289"/>
      <c r="D49" s="290"/>
    </row>
    <row r="50" spans="1:4" ht="19.5" customHeight="1">
      <c r="A50" s="7"/>
      <c r="B50" s="7" t="s">
        <v>7</v>
      </c>
      <c r="C50" s="7" t="s">
        <v>6</v>
      </c>
      <c r="D50" s="7" t="s">
        <v>52</v>
      </c>
    </row>
    <row r="51" spans="1:4" ht="63" customHeight="1">
      <c r="A51" s="7"/>
      <c r="B51" s="6" t="s">
        <v>15</v>
      </c>
      <c r="C51" s="6" t="s">
        <v>6</v>
      </c>
      <c r="D51" s="5" t="s">
        <v>91</v>
      </c>
    </row>
    <row r="52" spans="1:4" ht="19.5" customHeight="1">
      <c r="A52" s="7"/>
      <c r="B52" s="7"/>
      <c r="C52" s="7"/>
      <c r="D52" s="7"/>
    </row>
    <row r="53" spans="1:4" ht="19.5" customHeight="1">
      <c r="A53" s="7"/>
      <c r="B53" s="7"/>
      <c r="C53" s="7"/>
      <c r="D53" s="7"/>
    </row>
    <row r="54" spans="1:4" ht="48.75" customHeight="1">
      <c r="A54" s="7"/>
      <c r="B54" s="291" t="s">
        <v>93</v>
      </c>
      <c r="C54" s="289"/>
      <c r="D54" s="290"/>
    </row>
    <row r="55" spans="1:4" ht="19.5" customHeight="1">
      <c r="A55" s="7"/>
      <c r="B55" s="7" t="s">
        <v>7</v>
      </c>
      <c r="C55" s="7" t="s">
        <v>6</v>
      </c>
      <c r="D55" s="7" t="s">
        <v>56</v>
      </c>
    </row>
    <row r="56" spans="1:4" ht="19.5" customHeight="1">
      <c r="A56" s="7"/>
      <c r="B56" s="7" t="s">
        <v>15</v>
      </c>
      <c r="C56" s="7" t="s">
        <v>6</v>
      </c>
      <c r="D56" s="7" t="s">
        <v>53</v>
      </c>
    </row>
    <row r="57" spans="1:4" ht="19.5" customHeight="1">
      <c r="A57" s="7"/>
      <c r="B57" s="7"/>
      <c r="C57" s="7"/>
      <c r="D57" s="7"/>
    </row>
    <row r="58" spans="1:4" ht="30" customHeight="1">
      <c r="A58" s="7"/>
      <c r="B58" s="288" t="s">
        <v>54</v>
      </c>
      <c r="C58" s="295"/>
      <c r="D58" s="296"/>
    </row>
    <row r="59" spans="1:4">
      <c r="A59" s="7"/>
      <c r="B59" s="7" t="s">
        <v>7</v>
      </c>
      <c r="C59" s="7" t="s">
        <v>6</v>
      </c>
      <c r="D59" s="7" t="s">
        <v>55</v>
      </c>
    </row>
    <row r="60" spans="1:4">
      <c r="A60" s="7"/>
      <c r="B60" s="7" t="s">
        <v>15</v>
      </c>
      <c r="C60" s="7" t="s">
        <v>6</v>
      </c>
      <c r="D60" s="7"/>
    </row>
    <row r="61" spans="1:4" ht="75">
      <c r="A61" s="7"/>
      <c r="B61" s="6" t="s">
        <v>57</v>
      </c>
      <c r="C61" s="6" t="s">
        <v>50</v>
      </c>
      <c r="D61" s="5" t="s">
        <v>58</v>
      </c>
    </row>
    <row r="62" spans="1:4">
      <c r="A62" s="7"/>
      <c r="B62" s="7"/>
      <c r="C62" s="7"/>
      <c r="D62" s="7"/>
    </row>
    <row r="63" spans="1:4" ht="30" customHeight="1">
      <c r="A63" s="7"/>
      <c r="B63" s="288" t="s">
        <v>92</v>
      </c>
      <c r="C63" s="295"/>
      <c r="D63" s="296"/>
    </row>
    <row r="64" spans="1:4">
      <c r="A64" s="7"/>
      <c r="B64" s="7" t="s">
        <v>7</v>
      </c>
      <c r="C64" s="7" t="s">
        <v>6</v>
      </c>
      <c r="D64" s="7" t="s">
        <v>96</v>
      </c>
    </row>
    <row r="65" spans="1:4">
      <c r="A65" s="7"/>
      <c r="B65" s="7" t="s">
        <v>15</v>
      </c>
      <c r="C65" s="7" t="s">
        <v>6</v>
      </c>
      <c r="D65" s="7" t="s">
        <v>53</v>
      </c>
    </row>
    <row r="66" spans="1:4">
      <c r="A66" s="7"/>
      <c r="B66" s="7"/>
      <c r="C66" s="7"/>
      <c r="D66" s="7"/>
    </row>
    <row r="67" spans="1:4" ht="30" customHeight="1">
      <c r="A67" s="7"/>
      <c r="B67" s="288" t="s">
        <v>97</v>
      </c>
      <c r="C67" s="289"/>
      <c r="D67" s="290"/>
    </row>
    <row r="68" spans="1:4">
      <c r="A68" s="7"/>
      <c r="B68" s="7" t="s">
        <v>7</v>
      </c>
      <c r="C68" s="7" t="s">
        <v>6</v>
      </c>
      <c r="D68" s="7" t="s">
        <v>98</v>
      </c>
    </row>
    <row r="69" spans="1:4">
      <c r="A69" s="7"/>
      <c r="B69" s="7" t="s">
        <v>15</v>
      </c>
      <c r="C69" s="7" t="s">
        <v>6</v>
      </c>
      <c r="D69" s="7" t="s">
        <v>102</v>
      </c>
    </row>
    <row r="70" spans="1:4" ht="30">
      <c r="A70" s="7"/>
      <c r="B70" s="4" t="s">
        <v>99</v>
      </c>
      <c r="C70" s="4" t="s">
        <v>6</v>
      </c>
      <c r="D70" s="12" t="s">
        <v>100</v>
      </c>
    </row>
    <row r="71" spans="1:4">
      <c r="A71" s="7"/>
      <c r="B71" s="7"/>
      <c r="C71" s="7"/>
      <c r="D71" s="7"/>
    </row>
    <row r="72" spans="1:4">
      <c r="A72" s="7"/>
      <c r="B72" s="7"/>
      <c r="C72" s="7"/>
      <c r="D72" s="7"/>
    </row>
    <row r="73" spans="1:4" ht="26.25" customHeight="1">
      <c r="A73" s="7"/>
      <c r="B73" s="293" t="s">
        <v>103</v>
      </c>
      <c r="C73" s="294"/>
      <c r="D73" s="294"/>
    </row>
    <row r="74" spans="1:4">
      <c r="A74" s="7"/>
      <c r="B74" s="7" t="s">
        <v>7</v>
      </c>
      <c r="C74" s="7" t="s">
        <v>6</v>
      </c>
      <c r="D74" s="7" t="s">
        <v>104</v>
      </c>
    </row>
    <row r="75" spans="1:4" ht="45">
      <c r="A75" s="7"/>
      <c r="B75" s="7" t="s">
        <v>105</v>
      </c>
      <c r="C75" s="7" t="s">
        <v>6</v>
      </c>
      <c r="D75" s="15" t="s">
        <v>106</v>
      </c>
    </row>
    <row r="76" spans="1:4">
      <c r="A76" s="7"/>
      <c r="B76" s="7"/>
      <c r="C76" s="7"/>
      <c r="D76" s="7"/>
    </row>
    <row r="77" spans="1:4" ht="78.75" customHeight="1">
      <c r="A77" s="7"/>
      <c r="B77" s="292" t="s">
        <v>122</v>
      </c>
      <c r="C77" s="289"/>
      <c r="D77" s="290"/>
    </row>
    <row r="78" spans="1:4">
      <c r="A78" s="7"/>
      <c r="B78" s="7" t="s">
        <v>7</v>
      </c>
      <c r="C78" s="7" t="s">
        <v>6</v>
      </c>
      <c r="D78" s="15" t="s">
        <v>117</v>
      </c>
    </row>
    <row r="79" spans="1:4">
      <c r="A79" s="7"/>
      <c r="B79" s="7" t="s">
        <v>118</v>
      </c>
      <c r="C79" s="7" t="s">
        <v>5</v>
      </c>
      <c r="D79" s="7" t="s">
        <v>119</v>
      </c>
    </row>
    <row r="80" spans="1:4">
      <c r="A80" s="7"/>
      <c r="B80" s="7" t="s">
        <v>120</v>
      </c>
      <c r="C80" s="7" t="s">
        <v>5</v>
      </c>
      <c r="D80" s="7" t="s">
        <v>121</v>
      </c>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sheetData>
  <mergeCells count="15">
    <mergeCell ref="B63:D63"/>
    <mergeCell ref="B67:D67"/>
    <mergeCell ref="B73:D73"/>
    <mergeCell ref="B77:D77"/>
    <mergeCell ref="B54:D54"/>
    <mergeCell ref="B58:D58"/>
    <mergeCell ref="B35:D35"/>
    <mergeCell ref="B39:D39"/>
    <mergeCell ref="B44:D44"/>
    <mergeCell ref="B49:D49"/>
    <mergeCell ref="B2:D2"/>
    <mergeCell ref="B6:D6"/>
    <mergeCell ref="B14:D14"/>
    <mergeCell ref="B25:D25"/>
    <mergeCell ref="B30:D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89B64-59E2-4AF1-BB92-C085688B5228}">
  <dimension ref="A1:F203"/>
  <sheetViews>
    <sheetView workbookViewId="0">
      <selection activeCell="B18" sqref="B18"/>
    </sheetView>
  </sheetViews>
  <sheetFormatPr defaultRowHeight="15"/>
  <cols>
    <col min="1" max="1" width="13" customWidth="1"/>
    <col min="2" max="2" width="33" customWidth="1"/>
    <col min="3" max="3" width="15.5703125" style="108" customWidth="1"/>
    <col min="4" max="4" width="78" customWidth="1"/>
    <col min="5" max="5" width="38.7109375" customWidth="1"/>
    <col min="6" max="6" width="42.140625" customWidth="1"/>
  </cols>
  <sheetData>
    <row r="1" spans="1:4">
      <c r="A1" s="16" t="s">
        <v>0</v>
      </c>
      <c r="B1" s="16" t="s">
        <v>1</v>
      </c>
      <c r="C1" s="16" t="s">
        <v>2</v>
      </c>
      <c r="D1" s="16" t="s">
        <v>3</v>
      </c>
    </row>
    <row r="2" spans="1:4">
      <c r="A2" s="16"/>
      <c r="B2" s="182" t="s">
        <v>807</v>
      </c>
      <c r="C2" s="183"/>
      <c r="D2" s="184"/>
    </row>
    <row r="3" spans="1:4">
      <c r="A3" s="16"/>
      <c r="B3" s="16" t="s">
        <v>690</v>
      </c>
      <c r="C3" s="16" t="s">
        <v>279</v>
      </c>
      <c r="D3" s="16" t="s">
        <v>808</v>
      </c>
    </row>
    <row r="4" spans="1:4" ht="60">
      <c r="A4" s="16"/>
      <c r="B4" s="16" t="s">
        <v>812</v>
      </c>
      <c r="C4" s="16" t="s">
        <v>276</v>
      </c>
      <c r="D4" s="107" t="s">
        <v>813</v>
      </c>
    </row>
    <row r="5" spans="1:4">
      <c r="A5" s="16"/>
      <c r="B5" s="16" t="s">
        <v>816</v>
      </c>
      <c r="C5" s="16" t="s">
        <v>741</v>
      </c>
      <c r="D5" s="107"/>
    </row>
    <row r="6" spans="1:4">
      <c r="A6" s="16"/>
      <c r="B6" s="16" t="s">
        <v>817</v>
      </c>
      <c r="C6" s="16" t="s">
        <v>741</v>
      </c>
      <c r="D6" s="107"/>
    </row>
    <row r="7" spans="1:4">
      <c r="A7" s="16"/>
      <c r="B7" s="309" t="s">
        <v>825</v>
      </c>
      <c r="C7" s="310"/>
      <c r="D7" s="311"/>
    </row>
    <row r="8" spans="1:4" ht="45">
      <c r="A8" s="16"/>
      <c r="B8" s="31" t="s">
        <v>809</v>
      </c>
      <c r="C8" s="16" t="s">
        <v>276</v>
      </c>
      <c r="D8" s="107" t="s">
        <v>810</v>
      </c>
    </row>
    <row r="9" spans="1:4">
      <c r="A9" s="16"/>
      <c r="B9" s="31" t="s">
        <v>811</v>
      </c>
      <c r="C9" s="16" t="s">
        <v>279</v>
      </c>
      <c r="D9" s="16"/>
    </row>
    <row r="10" spans="1:4" ht="60">
      <c r="A10" s="16"/>
      <c r="B10" s="31" t="s">
        <v>814</v>
      </c>
      <c r="C10" s="16" t="s">
        <v>276</v>
      </c>
      <c r="D10" s="107" t="s">
        <v>815</v>
      </c>
    </row>
    <row r="11" spans="1:4">
      <c r="A11" s="16"/>
      <c r="B11" s="31" t="s">
        <v>819</v>
      </c>
      <c r="C11" s="16" t="s">
        <v>276</v>
      </c>
      <c r="D11" s="16" t="s">
        <v>820</v>
      </c>
    </row>
    <row r="12" spans="1:4">
      <c r="A12" s="16"/>
      <c r="B12" s="7" t="s">
        <v>822</v>
      </c>
      <c r="C12" s="32" t="s">
        <v>276</v>
      </c>
      <c r="D12" s="7" t="s">
        <v>803</v>
      </c>
    </row>
    <row r="13" spans="1:4">
      <c r="A13" s="16"/>
      <c r="B13" s="7" t="s">
        <v>804</v>
      </c>
      <c r="C13" s="32" t="s">
        <v>276</v>
      </c>
      <c r="D13" s="7" t="s">
        <v>805</v>
      </c>
    </row>
    <row r="14" spans="1:4">
      <c r="A14" s="16"/>
      <c r="B14" s="7" t="s">
        <v>806</v>
      </c>
      <c r="C14" s="32" t="s">
        <v>276</v>
      </c>
      <c r="D14" s="7" t="s">
        <v>823</v>
      </c>
    </row>
    <row r="15" spans="1:4">
      <c r="A15" s="16"/>
      <c r="B15" s="109" t="s">
        <v>821</v>
      </c>
      <c r="C15" s="16"/>
      <c r="D15" s="16"/>
    </row>
    <row r="16" spans="1:4">
      <c r="A16" s="16"/>
      <c r="B16" s="309" t="s">
        <v>826</v>
      </c>
      <c r="C16" s="310"/>
      <c r="D16" s="311"/>
    </row>
    <row r="17" spans="1:4">
      <c r="A17" s="16"/>
      <c r="B17" s="16"/>
      <c r="C17" s="16"/>
      <c r="D17" s="16"/>
    </row>
    <row r="18" spans="1:4">
      <c r="A18" s="16"/>
      <c r="B18" s="16"/>
      <c r="C18" s="16"/>
      <c r="D18" s="16"/>
    </row>
    <row r="19" spans="1:4">
      <c r="A19" s="16"/>
      <c r="B19" s="16"/>
      <c r="C19" s="16"/>
      <c r="D19" s="16"/>
    </row>
    <row r="20" spans="1:4">
      <c r="A20" s="16"/>
      <c r="B20" s="16"/>
      <c r="C20" s="16"/>
      <c r="D20" s="16"/>
    </row>
    <row r="21" spans="1:4">
      <c r="A21" s="16"/>
      <c r="B21" s="16"/>
      <c r="C21" s="16"/>
      <c r="D21" s="16"/>
    </row>
    <row r="22" spans="1:4">
      <c r="A22" s="16"/>
      <c r="B22" s="16"/>
      <c r="C22" s="16"/>
      <c r="D22" s="16"/>
    </row>
    <row r="23" spans="1:4">
      <c r="A23" s="16"/>
      <c r="B23" s="16"/>
      <c r="C23" s="16"/>
      <c r="D23" s="16"/>
    </row>
    <row r="24" spans="1:4">
      <c r="A24" s="16"/>
      <c r="B24" s="16"/>
      <c r="C24" s="16"/>
      <c r="D24" s="16"/>
    </row>
    <row r="25" spans="1:4">
      <c r="A25" s="16"/>
      <c r="B25" s="16"/>
      <c r="C25" s="16"/>
      <c r="D25" s="16"/>
    </row>
    <row r="26" spans="1:4">
      <c r="A26" s="16"/>
      <c r="B26" s="16"/>
      <c r="C26" s="16"/>
      <c r="D26" s="16"/>
    </row>
    <row r="27" spans="1:4">
      <c r="A27" s="16"/>
      <c r="B27" s="16"/>
      <c r="C27" s="16"/>
      <c r="D27" s="16"/>
    </row>
    <row r="28" spans="1:4" ht="27.75" customHeight="1">
      <c r="A28" s="28">
        <v>1</v>
      </c>
      <c r="B28" s="293" t="s">
        <v>800</v>
      </c>
      <c r="C28" s="294"/>
      <c r="D28" s="294"/>
    </row>
    <row r="29" spans="1:4">
      <c r="A29" s="3"/>
      <c r="B29" s="6" t="s">
        <v>7</v>
      </c>
      <c r="C29" s="3" t="s">
        <v>6</v>
      </c>
      <c r="D29" s="6" t="s">
        <v>682</v>
      </c>
    </row>
    <row r="30" spans="1:4">
      <c r="A30" s="3"/>
      <c r="B30" s="6" t="s">
        <v>623</v>
      </c>
      <c r="C30" s="3" t="s">
        <v>208</v>
      </c>
      <c r="D30" s="6" t="s">
        <v>178</v>
      </c>
    </row>
    <row r="31" spans="1:4" ht="60">
      <c r="A31" s="3"/>
      <c r="B31" s="6" t="s">
        <v>818</v>
      </c>
      <c r="C31" s="3" t="s">
        <v>276</v>
      </c>
      <c r="D31" s="11" t="s">
        <v>683</v>
      </c>
    </row>
    <row r="32" spans="1:4">
      <c r="A32" s="3"/>
      <c r="B32" s="6" t="s">
        <v>623</v>
      </c>
      <c r="C32" s="3" t="s">
        <v>514</v>
      </c>
      <c r="D32" s="11" t="s">
        <v>178</v>
      </c>
    </row>
    <row r="33" spans="1:4" ht="29.25" customHeight="1">
      <c r="A33" s="28">
        <v>2</v>
      </c>
      <c r="B33" s="288" t="s">
        <v>799</v>
      </c>
      <c r="C33" s="295"/>
      <c r="D33" s="296"/>
    </row>
    <row r="34" spans="1:4" s="69" customFormat="1" ht="29.25" customHeight="1">
      <c r="A34" s="87"/>
      <c r="B34" s="98" t="s">
        <v>7</v>
      </c>
      <c r="C34" s="87" t="s">
        <v>276</v>
      </c>
      <c r="D34" s="98" t="s">
        <v>692</v>
      </c>
    </row>
    <row r="35" spans="1:4" s="69" customFormat="1" ht="29.25" customHeight="1">
      <c r="A35" s="87"/>
      <c r="B35" s="98" t="s">
        <v>623</v>
      </c>
      <c r="C35" s="87" t="s">
        <v>514</v>
      </c>
      <c r="D35" s="98" t="s">
        <v>178</v>
      </c>
    </row>
    <row r="36" spans="1:4" ht="120">
      <c r="A36" s="3"/>
      <c r="B36" s="6" t="s">
        <v>684</v>
      </c>
      <c r="C36" s="3" t="s">
        <v>276</v>
      </c>
      <c r="D36" s="11" t="s">
        <v>685</v>
      </c>
    </row>
    <row r="37" spans="1:4" ht="30">
      <c r="A37" s="3"/>
      <c r="B37" s="6" t="s">
        <v>686</v>
      </c>
      <c r="C37" s="3" t="s">
        <v>276</v>
      </c>
      <c r="D37" s="11" t="s">
        <v>687</v>
      </c>
    </row>
    <row r="38" spans="1:4" ht="60">
      <c r="A38" s="3"/>
      <c r="B38" s="6" t="s">
        <v>688</v>
      </c>
      <c r="C38" s="3" t="s">
        <v>279</v>
      </c>
      <c r="D38" s="11" t="s">
        <v>689</v>
      </c>
    </row>
    <row r="39" spans="1:4" ht="60">
      <c r="A39" s="3"/>
      <c r="B39" s="6" t="s">
        <v>701</v>
      </c>
      <c r="C39" s="3" t="s">
        <v>276</v>
      </c>
      <c r="D39" s="11" t="s">
        <v>702</v>
      </c>
    </row>
    <row r="40" spans="1:4">
      <c r="A40" s="3"/>
      <c r="B40" s="6" t="s">
        <v>690</v>
      </c>
      <c r="C40" s="3" t="s">
        <v>279</v>
      </c>
      <c r="D40" s="11" t="s">
        <v>691</v>
      </c>
    </row>
    <row r="41" spans="1:4" ht="35.25" customHeight="1">
      <c r="A41" s="28">
        <v>2</v>
      </c>
      <c r="B41" s="292" t="s">
        <v>705</v>
      </c>
      <c r="C41" s="289"/>
      <c r="D41" s="290"/>
    </row>
    <row r="42" spans="1:4">
      <c r="A42" s="3"/>
      <c r="B42" s="6" t="s">
        <v>7</v>
      </c>
      <c r="C42" s="3" t="s">
        <v>6</v>
      </c>
      <c r="D42" s="6" t="s">
        <v>693</v>
      </c>
    </row>
    <row r="43" spans="1:4">
      <c r="A43" s="3"/>
      <c r="B43" s="6" t="s">
        <v>623</v>
      </c>
      <c r="C43" s="3" t="s">
        <v>514</v>
      </c>
      <c r="D43" s="6" t="s">
        <v>178</v>
      </c>
    </row>
    <row r="44" spans="1:4">
      <c r="A44" s="3"/>
      <c r="B44" s="6" t="s">
        <v>694</v>
      </c>
      <c r="C44" s="3" t="s">
        <v>276</v>
      </c>
      <c r="D44" s="6" t="s">
        <v>695</v>
      </c>
    </row>
    <row r="45" spans="1:4">
      <c r="A45" s="3"/>
      <c r="B45" s="6" t="s">
        <v>696</v>
      </c>
      <c r="C45" s="3" t="s">
        <v>276</v>
      </c>
      <c r="D45" s="6" t="s">
        <v>697</v>
      </c>
    </row>
    <row r="46" spans="1:4">
      <c r="A46" s="3"/>
      <c r="B46" s="6" t="s">
        <v>698</v>
      </c>
      <c r="C46" s="3" t="s">
        <v>276</v>
      </c>
      <c r="D46" s="6" t="s">
        <v>699</v>
      </c>
    </row>
    <row r="47" spans="1:4">
      <c r="A47" s="3"/>
      <c r="B47" s="6" t="s">
        <v>700</v>
      </c>
      <c r="C47" s="3" t="s">
        <v>276</v>
      </c>
      <c r="D47" s="6" t="s">
        <v>699</v>
      </c>
    </row>
    <row r="48" spans="1:4">
      <c r="A48" s="3"/>
      <c r="B48" s="6" t="s">
        <v>703</v>
      </c>
      <c r="C48" s="3" t="s">
        <v>704</v>
      </c>
      <c r="D48" s="6" t="s">
        <v>357</v>
      </c>
    </row>
    <row r="49" spans="1:4">
      <c r="A49" s="3"/>
      <c r="B49" s="6"/>
      <c r="C49" s="3"/>
      <c r="D49" s="6"/>
    </row>
    <row r="50" spans="1:4">
      <c r="A50" s="3"/>
      <c r="B50" s="6"/>
      <c r="C50" s="3"/>
      <c r="D50" s="6"/>
    </row>
    <row r="51" spans="1:4">
      <c r="A51" s="3"/>
      <c r="B51" s="6"/>
      <c r="C51" s="3"/>
      <c r="D51" s="6"/>
    </row>
    <row r="52" spans="1:4" ht="29.25" customHeight="1">
      <c r="A52" s="28">
        <v>3</v>
      </c>
      <c r="B52" s="288" t="s">
        <v>801</v>
      </c>
      <c r="C52" s="289"/>
      <c r="D52" s="290"/>
    </row>
    <row r="53" spans="1:4">
      <c r="A53" s="3"/>
      <c r="B53" s="6" t="s">
        <v>7</v>
      </c>
      <c r="C53" s="3" t="s">
        <v>6</v>
      </c>
      <c r="D53" s="6" t="s">
        <v>706</v>
      </c>
    </row>
    <row r="54" spans="1:4">
      <c r="A54" s="7"/>
      <c r="B54" s="7" t="s">
        <v>623</v>
      </c>
      <c r="C54" s="32" t="s">
        <v>208</v>
      </c>
      <c r="D54" s="7" t="s">
        <v>178</v>
      </c>
    </row>
    <row r="55" spans="1:4">
      <c r="A55" s="7"/>
      <c r="B55" s="7" t="s">
        <v>707</v>
      </c>
      <c r="C55" s="32" t="s">
        <v>279</v>
      </c>
      <c r="D55" s="7"/>
    </row>
    <row r="56" spans="1:4">
      <c r="A56" s="7"/>
      <c r="B56" s="7" t="s">
        <v>708</v>
      </c>
      <c r="C56" s="32" t="s">
        <v>279</v>
      </c>
      <c r="D56" s="7" t="s">
        <v>709</v>
      </c>
    </row>
    <row r="57" spans="1:4" ht="45">
      <c r="A57" s="7"/>
      <c r="B57" s="7" t="s">
        <v>555</v>
      </c>
      <c r="C57" s="32" t="s">
        <v>276</v>
      </c>
      <c r="D57" s="9" t="s">
        <v>710</v>
      </c>
    </row>
    <row r="58" spans="1:4" ht="45">
      <c r="A58" s="7"/>
      <c r="B58" s="7" t="s">
        <v>277</v>
      </c>
      <c r="C58" s="32" t="s">
        <v>276</v>
      </c>
      <c r="D58" s="9" t="s">
        <v>711</v>
      </c>
    </row>
    <row r="59" spans="1:4">
      <c r="A59" s="7"/>
      <c r="B59" s="7" t="s">
        <v>502</v>
      </c>
      <c r="C59" s="32" t="s">
        <v>279</v>
      </c>
      <c r="D59" s="9" t="s">
        <v>748</v>
      </c>
    </row>
    <row r="60" spans="1:4">
      <c r="A60" s="7"/>
      <c r="B60" s="7" t="s">
        <v>749</v>
      </c>
      <c r="C60" s="32" t="s">
        <v>279</v>
      </c>
      <c r="D60" s="9" t="s">
        <v>750</v>
      </c>
    </row>
    <row r="61" spans="1:4">
      <c r="A61" s="7"/>
      <c r="B61" s="7" t="s">
        <v>712</v>
      </c>
      <c r="C61" s="32" t="s">
        <v>276</v>
      </c>
      <c r="D61" s="7" t="s">
        <v>713</v>
      </c>
    </row>
    <row r="62" spans="1:4">
      <c r="A62" s="7"/>
      <c r="B62" s="7" t="s">
        <v>714</v>
      </c>
      <c r="C62" s="32" t="s">
        <v>276</v>
      </c>
      <c r="D62" s="7" t="s">
        <v>715</v>
      </c>
    </row>
    <row r="63" spans="1:4">
      <c r="A63" s="7"/>
      <c r="B63" s="7" t="s">
        <v>716</v>
      </c>
      <c r="C63" s="32" t="s">
        <v>717</v>
      </c>
      <c r="D63" s="7" t="s">
        <v>718</v>
      </c>
    </row>
    <row r="64" spans="1:4" ht="60">
      <c r="A64" s="7"/>
      <c r="B64" s="7" t="s">
        <v>719</v>
      </c>
      <c r="C64" s="32" t="s">
        <v>276</v>
      </c>
      <c r="D64" s="9" t="s">
        <v>720</v>
      </c>
    </row>
    <row r="65" spans="1:4">
      <c r="A65" s="7"/>
      <c r="B65" s="7" t="s">
        <v>721</v>
      </c>
      <c r="C65" s="32" t="s">
        <v>276</v>
      </c>
      <c r="D65" s="9" t="s">
        <v>723</v>
      </c>
    </row>
    <row r="66" spans="1:4">
      <c r="A66" s="7"/>
      <c r="B66" s="7" t="s">
        <v>722</v>
      </c>
      <c r="C66" s="32" t="s">
        <v>276</v>
      </c>
      <c r="D66" s="9" t="s">
        <v>726</v>
      </c>
    </row>
    <row r="67" spans="1:4">
      <c r="A67" s="7"/>
      <c r="B67" s="7" t="s">
        <v>724</v>
      </c>
      <c r="C67" s="32" t="s">
        <v>276</v>
      </c>
      <c r="D67" s="9" t="s">
        <v>725</v>
      </c>
    </row>
    <row r="68" spans="1:4" ht="60">
      <c r="A68" s="7"/>
      <c r="B68" s="7" t="s">
        <v>378</v>
      </c>
      <c r="C68" s="32" t="s">
        <v>6</v>
      </c>
      <c r="D68" s="9" t="s">
        <v>727</v>
      </c>
    </row>
    <row r="69" spans="1:4" ht="30">
      <c r="A69" s="7"/>
      <c r="B69" s="7" t="s">
        <v>728</v>
      </c>
      <c r="C69" s="32" t="s">
        <v>276</v>
      </c>
      <c r="D69" s="9" t="s">
        <v>729</v>
      </c>
    </row>
    <row r="70" spans="1:4">
      <c r="A70" s="7"/>
      <c r="B70" s="215" t="s">
        <v>730</v>
      </c>
      <c r="C70" s="216"/>
      <c r="D70" s="217"/>
    </row>
    <row r="71" spans="1:4">
      <c r="A71" s="7"/>
      <c r="B71" s="7" t="s">
        <v>9</v>
      </c>
      <c r="C71" s="32" t="s">
        <v>279</v>
      </c>
      <c r="D71" s="9" t="s">
        <v>731</v>
      </c>
    </row>
    <row r="72" spans="1:4">
      <c r="A72" s="7"/>
      <c r="B72" s="7" t="s">
        <v>732</v>
      </c>
      <c r="C72" s="32" t="s">
        <v>279</v>
      </c>
      <c r="D72" s="9" t="s">
        <v>733</v>
      </c>
    </row>
    <row r="73" spans="1:4">
      <c r="A73" s="7"/>
      <c r="B73" s="7" t="s">
        <v>734</v>
      </c>
      <c r="C73" s="32" t="s">
        <v>279</v>
      </c>
      <c r="D73" s="9" t="s">
        <v>735</v>
      </c>
    </row>
    <row r="74" spans="1:4">
      <c r="A74" s="7"/>
      <c r="B74" s="7" t="s">
        <v>736</v>
      </c>
      <c r="C74" s="32" t="s">
        <v>276</v>
      </c>
      <c r="D74" s="9" t="s">
        <v>737</v>
      </c>
    </row>
    <row r="75" spans="1:4">
      <c r="A75" s="7"/>
      <c r="B75" s="7" t="s">
        <v>738</v>
      </c>
      <c r="C75" s="32" t="s">
        <v>276</v>
      </c>
      <c r="D75" s="9" t="s">
        <v>739</v>
      </c>
    </row>
    <row r="76" spans="1:4">
      <c r="A76" s="7"/>
      <c r="B76" s="7" t="s">
        <v>740</v>
      </c>
      <c r="C76" s="32" t="s">
        <v>741</v>
      </c>
      <c r="D76" s="9" t="s">
        <v>357</v>
      </c>
    </row>
    <row r="77" spans="1:4">
      <c r="A77" s="7"/>
      <c r="B77" s="7" t="s">
        <v>742</v>
      </c>
      <c r="C77" s="32" t="s">
        <v>276</v>
      </c>
      <c r="D77" s="9" t="s">
        <v>745</v>
      </c>
    </row>
    <row r="78" spans="1:4">
      <c r="A78" s="7"/>
      <c r="B78" s="7" t="s">
        <v>743</v>
      </c>
      <c r="C78" s="32" t="s">
        <v>744</v>
      </c>
      <c r="D78" s="9" t="s">
        <v>746</v>
      </c>
    </row>
    <row r="79" spans="1:4">
      <c r="A79" s="7"/>
      <c r="B79" s="206" t="s">
        <v>747</v>
      </c>
      <c r="C79" s="207"/>
      <c r="D79" s="208"/>
    </row>
    <row r="80" spans="1:4">
      <c r="A80" s="7"/>
      <c r="B80" s="6"/>
      <c r="C80" s="3"/>
      <c r="D80" s="15"/>
    </row>
    <row r="81" spans="1:4">
      <c r="A81" s="7"/>
      <c r="B81" s="4"/>
      <c r="C81" s="3"/>
      <c r="D81" s="12"/>
    </row>
    <row r="82" spans="1:4" ht="29.25" customHeight="1">
      <c r="A82" s="28">
        <v>4</v>
      </c>
      <c r="B82" s="288" t="s">
        <v>802</v>
      </c>
      <c r="C82" s="289"/>
      <c r="D82" s="290"/>
    </row>
    <row r="83" spans="1:4">
      <c r="A83" s="7"/>
      <c r="B83" s="7" t="s">
        <v>7</v>
      </c>
      <c r="C83" s="32" t="s">
        <v>6</v>
      </c>
      <c r="D83" s="7" t="s">
        <v>751</v>
      </c>
    </row>
    <row r="84" spans="1:4">
      <c r="A84" s="7"/>
      <c r="B84" s="7" t="s">
        <v>623</v>
      </c>
      <c r="C84" s="32" t="s">
        <v>514</v>
      </c>
      <c r="D84" s="15" t="s">
        <v>178</v>
      </c>
    </row>
    <row r="85" spans="1:4">
      <c r="A85" s="7"/>
      <c r="B85" s="7" t="s">
        <v>9</v>
      </c>
      <c r="C85" s="32" t="s">
        <v>279</v>
      </c>
      <c r="D85" s="7"/>
    </row>
    <row r="86" spans="1:4">
      <c r="A86" s="7"/>
      <c r="B86" s="7" t="s">
        <v>792</v>
      </c>
      <c r="C86" s="32" t="s">
        <v>279</v>
      </c>
      <c r="D86" s="7" t="s">
        <v>794</v>
      </c>
    </row>
    <row r="87" spans="1:4">
      <c r="A87" s="7"/>
      <c r="B87" s="7" t="s">
        <v>793</v>
      </c>
      <c r="C87" s="32" t="s">
        <v>279</v>
      </c>
      <c r="D87" s="7" t="s">
        <v>795</v>
      </c>
    </row>
    <row r="88" spans="1:4">
      <c r="A88" s="7"/>
      <c r="B88" s="7" t="s">
        <v>516</v>
      </c>
      <c r="C88" s="32" t="s">
        <v>279</v>
      </c>
      <c r="D88" s="7"/>
    </row>
    <row r="89" spans="1:4">
      <c r="A89" s="7"/>
      <c r="B89" s="7" t="s">
        <v>517</v>
      </c>
      <c r="C89" s="32" t="s">
        <v>279</v>
      </c>
      <c r="D89" s="7"/>
    </row>
    <row r="90" spans="1:4">
      <c r="A90" s="7"/>
      <c r="B90" s="7" t="s">
        <v>752</v>
      </c>
      <c r="C90" s="32" t="s">
        <v>276</v>
      </c>
      <c r="D90" s="7" t="s">
        <v>753</v>
      </c>
    </row>
    <row r="91" spans="1:4" ht="30">
      <c r="A91" s="7"/>
      <c r="B91" s="7" t="s">
        <v>754</v>
      </c>
      <c r="C91" s="32" t="s">
        <v>276</v>
      </c>
      <c r="D91" s="15" t="s">
        <v>755</v>
      </c>
    </row>
    <row r="92" spans="1:4">
      <c r="A92" s="7"/>
      <c r="B92" s="7" t="s">
        <v>756</v>
      </c>
      <c r="C92" s="32" t="s">
        <v>279</v>
      </c>
      <c r="D92" s="7"/>
    </row>
    <row r="93" spans="1:4">
      <c r="A93" s="7"/>
      <c r="B93" s="7" t="s">
        <v>568</v>
      </c>
      <c r="C93" s="32" t="s">
        <v>276</v>
      </c>
      <c r="D93" s="7"/>
    </row>
    <row r="94" spans="1:4">
      <c r="A94" s="7"/>
      <c r="B94" s="7" t="s">
        <v>758</v>
      </c>
      <c r="C94" s="32" t="s">
        <v>276</v>
      </c>
      <c r="D94" s="7" t="s">
        <v>759</v>
      </c>
    </row>
    <row r="95" spans="1:4" ht="75">
      <c r="A95" s="4"/>
      <c r="B95" s="4" t="s">
        <v>760</v>
      </c>
      <c r="C95" s="3" t="s">
        <v>276</v>
      </c>
      <c r="D95" s="10" t="s">
        <v>761</v>
      </c>
    </row>
    <row r="96" spans="1:4">
      <c r="A96" s="7"/>
      <c r="B96" s="7" t="s">
        <v>762</v>
      </c>
      <c r="C96" s="32" t="s">
        <v>276</v>
      </c>
      <c r="D96" s="7" t="s">
        <v>566</v>
      </c>
    </row>
    <row r="97" spans="1:5">
      <c r="A97" s="7"/>
      <c r="B97" s="7" t="s">
        <v>763</v>
      </c>
      <c r="C97" s="32" t="s">
        <v>272</v>
      </c>
      <c r="D97" s="7" t="s">
        <v>505</v>
      </c>
    </row>
    <row r="98" spans="1:5">
      <c r="A98" s="7"/>
      <c r="B98" s="7" t="s">
        <v>764</v>
      </c>
      <c r="C98" s="32" t="s">
        <v>279</v>
      </c>
      <c r="D98" s="7" t="s">
        <v>765</v>
      </c>
    </row>
    <row r="99" spans="1:5">
      <c r="A99" s="7"/>
      <c r="B99" s="7" t="s">
        <v>766</v>
      </c>
      <c r="C99" s="32" t="s">
        <v>276</v>
      </c>
      <c r="D99" s="7" t="s">
        <v>767</v>
      </c>
    </row>
    <row r="100" spans="1:5" s="106" customFormat="1" ht="45">
      <c r="A100" s="4"/>
      <c r="B100" s="4" t="s">
        <v>768</v>
      </c>
      <c r="C100" s="3" t="s">
        <v>276</v>
      </c>
      <c r="D100" s="12" t="s">
        <v>769</v>
      </c>
      <c r="E100" s="106" t="s">
        <v>796</v>
      </c>
    </row>
    <row r="101" spans="1:5" ht="60">
      <c r="A101" s="7"/>
      <c r="B101" s="7" t="s">
        <v>770</v>
      </c>
      <c r="C101" s="32" t="s">
        <v>279</v>
      </c>
      <c r="D101" s="9" t="s">
        <v>771</v>
      </c>
    </row>
    <row r="102" spans="1:5" ht="45">
      <c r="A102" s="7"/>
      <c r="B102" s="7" t="s">
        <v>772</v>
      </c>
      <c r="C102" s="32" t="s">
        <v>276</v>
      </c>
      <c r="D102" s="9" t="s">
        <v>773</v>
      </c>
    </row>
    <row r="103" spans="1:5">
      <c r="A103" s="7"/>
      <c r="B103" s="7" t="s">
        <v>774</v>
      </c>
      <c r="C103" s="32" t="s">
        <v>279</v>
      </c>
      <c r="D103" s="7"/>
    </row>
    <row r="104" spans="1:5">
      <c r="A104" s="7"/>
      <c r="B104" s="7" t="s">
        <v>775</v>
      </c>
      <c r="C104" s="32" t="s">
        <v>276</v>
      </c>
      <c r="D104" s="7" t="s">
        <v>776</v>
      </c>
    </row>
    <row r="105" spans="1:5" ht="30">
      <c r="A105" s="7"/>
      <c r="B105" s="9" t="s">
        <v>777</v>
      </c>
      <c r="C105" s="32" t="s">
        <v>276</v>
      </c>
      <c r="D105" s="7" t="s">
        <v>778</v>
      </c>
    </row>
    <row r="106" spans="1:5">
      <c r="A106" s="7"/>
      <c r="B106" s="7" t="s">
        <v>494</v>
      </c>
      <c r="C106" s="32" t="s">
        <v>279</v>
      </c>
      <c r="D106" s="7"/>
    </row>
    <row r="107" spans="1:5" ht="30">
      <c r="A107" s="7"/>
      <c r="B107" s="7" t="s">
        <v>779</v>
      </c>
      <c r="C107" s="32" t="s">
        <v>276</v>
      </c>
      <c r="D107" s="15" t="s">
        <v>780</v>
      </c>
    </row>
    <row r="108" spans="1:5">
      <c r="A108" s="7"/>
      <c r="B108" s="7" t="s">
        <v>781</v>
      </c>
      <c r="C108" s="32" t="s">
        <v>497</v>
      </c>
      <c r="D108" s="7" t="s">
        <v>782</v>
      </c>
    </row>
    <row r="109" spans="1:5">
      <c r="A109" s="7"/>
      <c r="B109" s="7" t="s">
        <v>783</v>
      </c>
      <c r="C109" s="32" t="s">
        <v>279</v>
      </c>
      <c r="D109" s="7"/>
    </row>
    <row r="110" spans="1:5">
      <c r="A110" s="7"/>
      <c r="B110" s="7" t="s">
        <v>784</v>
      </c>
      <c r="C110" s="32" t="s">
        <v>279</v>
      </c>
      <c r="D110" s="7"/>
    </row>
    <row r="111" spans="1:5" s="106" customFormat="1" ht="60">
      <c r="A111" s="4"/>
      <c r="B111" s="4" t="s">
        <v>785</v>
      </c>
      <c r="C111" s="3" t="s">
        <v>276</v>
      </c>
      <c r="D111" s="10" t="s">
        <v>786</v>
      </c>
    </row>
    <row r="112" spans="1:5">
      <c r="A112" s="7"/>
      <c r="B112" s="7" t="s">
        <v>787</v>
      </c>
      <c r="C112" s="32" t="s">
        <v>276</v>
      </c>
      <c r="D112" s="7" t="s">
        <v>788</v>
      </c>
    </row>
    <row r="113" spans="1:4">
      <c r="A113" s="7"/>
      <c r="B113" s="7" t="s">
        <v>789</v>
      </c>
      <c r="C113" s="32" t="s">
        <v>276</v>
      </c>
      <c r="D113" s="7" t="s">
        <v>790</v>
      </c>
    </row>
    <row r="114" spans="1:4">
      <c r="A114" s="7"/>
      <c r="B114" s="7" t="s">
        <v>740</v>
      </c>
      <c r="C114" s="32" t="s">
        <v>741</v>
      </c>
      <c r="D114" s="7" t="s">
        <v>791</v>
      </c>
    </row>
    <row r="115" spans="1:4" s="123" customFormat="1" ht="26.25" customHeight="1">
      <c r="A115" s="122"/>
      <c r="B115" s="179" t="s">
        <v>902</v>
      </c>
      <c r="C115" s="180"/>
      <c r="D115" s="181"/>
    </row>
    <row r="116" spans="1:4">
      <c r="A116" s="7"/>
      <c r="B116" s="7" t="s">
        <v>4</v>
      </c>
      <c r="C116" s="32" t="s">
        <v>279</v>
      </c>
      <c r="D116" s="7" t="s">
        <v>903</v>
      </c>
    </row>
    <row r="117" spans="1:4">
      <c r="A117" s="7"/>
      <c r="B117" s="7" t="s">
        <v>30</v>
      </c>
      <c r="C117" s="32" t="s">
        <v>279</v>
      </c>
      <c r="D117" s="7" t="s">
        <v>904</v>
      </c>
    </row>
    <row r="118" spans="1:4" ht="30">
      <c r="A118" s="7"/>
      <c r="B118" s="7" t="s">
        <v>905</v>
      </c>
      <c r="C118" s="32" t="s">
        <v>276</v>
      </c>
      <c r="D118" s="9" t="s">
        <v>906</v>
      </c>
    </row>
    <row r="119" spans="1:4">
      <c r="A119" s="7"/>
      <c r="B119" s="7"/>
      <c r="C119" s="32"/>
      <c r="D119" s="7"/>
    </row>
    <row r="120" spans="1:4">
      <c r="A120" s="7"/>
      <c r="B120" s="7"/>
      <c r="C120" s="32"/>
      <c r="D120" s="7"/>
    </row>
    <row r="121" spans="1:4">
      <c r="A121" s="7"/>
      <c r="B121" s="7"/>
      <c r="C121" s="32"/>
      <c r="D121" s="7"/>
    </row>
    <row r="122" spans="1:4">
      <c r="A122" s="7"/>
      <c r="B122" s="7"/>
      <c r="C122" s="32"/>
      <c r="D122" s="7"/>
    </row>
    <row r="123" spans="1:4">
      <c r="A123" s="7"/>
      <c r="B123" s="7"/>
      <c r="C123" s="32"/>
      <c r="D123" s="7"/>
    </row>
    <row r="124" spans="1:4">
      <c r="A124" s="7"/>
      <c r="B124" s="297"/>
      <c r="C124" s="298"/>
      <c r="D124" s="299"/>
    </row>
    <row r="125" spans="1:4" s="121" customFormat="1">
      <c r="A125" s="120"/>
      <c r="B125" s="300" t="s">
        <v>864</v>
      </c>
      <c r="C125" s="301"/>
      <c r="D125" s="302"/>
    </row>
    <row r="126" spans="1:4">
      <c r="A126" s="7"/>
      <c r="B126" s="7" t="s">
        <v>4</v>
      </c>
      <c r="C126" s="32" t="s">
        <v>279</v>
      </c>
      <c r="D126" s="7" t="s">
        <v>865</v>
      </c>
    </row>
    <row r="127" spans="1:4">
      <c r="A127" s="7"/>
      <c r="B127" s="7" t="s">
        <v>30</v>
      </c>
      <c r="C127" s="32" t="s">
        <v>279</v>
      </c>
      <c r="D127" s="7" t="s">
        <v>866</v>
      </c>
    </row>
    <row r="128" spans="1:4">
      <c r="A128" s="7"/>
      <c r="B128" s="7" t="s">
        <v>517</v>
      </c>
      <c r="C128" s="32" t="s">
        <v>279</v>
      </c>
      <c r="D128" s="7"/>
    </row>
    <row r="129" spans="1:4">
      <c r="A129" s="7"/>
      <c r="B129" s="7" t="s">
        <v>516</v>
      </c>
      <c r="C129" s="32" t="s">
        <v>279</v>
      </c>
      <c r="D129" s="7"/>
    </row>
    <row r="130" spans="1:4">
      <c r="A130" s="7"/>
      <c r="B130" s="7" t="s">
        <v>754</v>
      </c>
      <c r="C130" s="32" t="s">
        <v>276</v>
      </c>
      <c r="D130" s="7"/>
    </row>
    <row r="131" spans="1:4" ht="60">
      <c r="A131" s="7"/>
      <c r="B131" s="7" t="s">
        <v>867</v>
      </c>
      <c r="C131" s="32" t="s">
        <v>276</v>
      </c>
      <c r="D131" s="9" t="s">
        <v>868</v>
      </c>
    </row>
    <row r="132" spans="1:4">
      <c r="A132" s="7"/>
      <c r="B132" s="7" t="s">
        <v>869</v>
      </c>
      <c r="C132" s="32" t="s">
        <v>276</v>
      </c>
      <c r="D132" s="7" t="s">
        <v>870</v>
      </c>
    </row>
    <row r="133" spans="1:4" s="106" customFormat="1" ht="20.25" customHeight="1">
      <c r="A133" s="4"/>
      <c r="B133" s="206" t="s">
        <v>888</v>
      </c>
      <c r="C133" s="207"/>
      <c r="D133" s="208"/>
    </row>
    <row r="134" spans="1:4">
      <c r="A134" s="7"/>
      <c r="B134" s="7" t="s">
        <v>871</v>
      </c>
      <c r="C134" s="32" t="s">
        <v>276</v>
      </c>
      <c r="D134" s="7"/>
    </row>
    <row r="135" spans="1:4">
      <c r="A135" s="7"/>
      <c r="B135" s="7" t="s">
        <v>484</v>
      </c>
      <c r="C135" s="32" t="s">
        <v>279</v>
      </c>
      <c r="D135" s="7"/>
    </row>
    <row r="136" spans="1:4">
      <c r="A136" s="7"/>
      <c r="B136" s="7" t="s">
        <v>518</v>
      </c>
      <c r="C136" s="32" t="s">
        <v>276</v>
      </c>
      <c r="D136" s="7"/>
    </row>
    <row r="137" spans="1:4">
      <c r="A137" s="7"/>
      <c r="B137" s="7" t="s">
        <v>872</v>
      </c>
      <c r="C137" s="32" t="s">
        <v>276</v>
      </c>
      <c r="D137" s="7"/>
    </row>
    <row r="138" spans="1:4">
      <c r="A138" s="7"/>
      <c r="B138" s="7" t="s">
        <v>873</v>
      </c>
      <c r="C138" s="32" t="s">
        <v>276</v>
      </c>
      <c r="D138" s="7"/>
    </row>
    <row r="139" spans="1:4">
      <c r="A139" s="7"/>
      <c r="B139" s="7" t="s">
        <v>787</v>
      </c>
      <c r="C139" s="32" t="s">
        <v>276</v>
      </c>
      <c r="D139" s="7"/>
    </row>
    <row r="140" spans="1:4">
      <c r="A140" s="7"/>
      <c r="B140" s="7" t="s">
        <v>789</v>
      </c>
      <c r="C140" s="32" t="s">
        <v>276</v>
      </c>
      <c r="D140" s="7"/>
    </row>
    <row r="141" spans="1:4" s="106" customFormat="1" ht="45">
      <c r="A141" s="4"/>
      <c r="B141" s="4" t="s">
        <v>874</v>
      </c>
      <c r="C141" s="3" t="s">
        <v>276</v>
      </c>
      <c r="D141" s="10" t="s">
        <v>875</v>
      </c>
    </row>
    <row r="142" spans="1:4">
      <c r="A142" s="7"/>
      <c r="B142" s="7" t="s">
        <v>876</v>
      </c>
      <c r="C142" s="32" t="s">
        <v>276</v>
      </c>
      <c r="D142" s="7" t="s">
        <v>877</v>
      </c>
    </row>
    <row r="143" spans="1:4" ht="30">
      <c r="A143" s="7"/>
      <c r="B143" s="7" t="s">
        <v>878</v>
      </c>
      <c r="C143" s="32" t="s">
        <v>279</v>
      </c>
      <c r="D143" s="9" t="s">
        <v>879</v>
      </c>
    </row>
    <row r="144" spans="1:4">
      <c r="A144" s="7"/>
      <c r="B144" s="7" t="s">
        <v>416</v>
      </c>
      <c r="C144" s="32"/>
      <c r="D144" s="7"/>
    </row>
    <row r="145" spans="1:5">
      <c r="A145" s="7"/>
      <c r="B145" s="7" t="s">
        <v>886</v>
      </c>
      <c r="C145" s="32" t="s">
        <v>279</v>
      </c>
      <c r="D145" s="7" t="s">
        <v>880</v>
      </c>
    </row>
    <row r="146" spans="1:5">
      <c r="A146" s="7"/>
      <c r="B146" s="7" t="s">
        <v>774</v>
      </c>
      <c r="C146" s="32" t="s">
        <v>279</v>
      </c>
      <c r="D146" s="7" t="s">
        <v>887</v>
      </c>
    </row>
    <row r="147" spans="1:5" ht="30">
      <c r="A147" s="7"/>
      <c r="B147" s="7" t="s">
        <v>881</v>
      </c>
      <c r="C147" s="32" t="s">
        <v>276</v>
      </c>
      <c r="D147" s="9" t="s">
        <v>882</v>
      </c>
    </row>
    <row r="148" spans="1:5" ht="30">
      <c r="A148" s="7"/>
      <c r="B148" s="9" t="s">
        <v>883</v>
      </c>
      <c r="C148" s="32" t="s">
        <v>276</v>
      </c>
      <c r="D148" s="7" t="s">
        <v>884</v>
      </c>
    </row>
    <row r="149" spans="1:5" ht="45">
      <c r="A149" s="7"/>
      <c r="B149" s="9" t="s">
        <v>894</v>
      </c>
      <c r="C149" s="32" t="s">
        <v>276</v>
      </c>
      <c r="D149" s="9" t="s">
        <v>895</v>
      </c>
    </row>
    <row r="150" spans="1:5">
      <c r="A150" s="7"/>
      <c r="B150" s="7" t="s">
        <v>885</v>
      </c>
      <c r="C150" s="32" t="s">
        <v>276</v>
      </c>
      <c r="D150" s="7" t="s">
        <v>896</v>
      </c>
    </row>
    <row r="151" spans="1:5">
      <c r="A151" s="7"/>
      <c r="B151" s="215" t="s">
        <v>855</v>
      </c>
      <c r="C151" s="216"/>
      <c r="D151" s="217"/>
    </row>
    <row r="152" spans="1:5">
      <c r="A152" s="7"/>
      <c r="B152" s="7"/>
      <c r="C152" s="32"/>
      <c r="D152" s="7"/>
    </row>
    <row r="153" spans="1:5">
      <c r="A153" s="7"/>
      <c r="B153" s="7"/>
      <c r="C153" s="32"/>
      <c r="D153" s="7"/>
    </row>
    <row r="154" spans="1:5">
      <c r="A154" s="7"/>
      <c r="B154" s="7"/>
      <c r="C154" s="32"/>
      <c r="D154" s="7"/>
    </row>
    <row r="155" spans="1:5" s="2" customFormat="1" ht="24" customHeight="1">
      <c r="A155" s="113"/>
      <c r="B155" s="191" t="s">
        <v>845</v>
      </c>
      <c r="C155" s="192"/>
      <c r="D155" s="193"/>
    </row>
    <row r="156" spans="1:5">
      <c r="A156" s="7"/>
      <c r="B156" s="7" t="s">
        <v>4</v>
      </c>
      <c r="C156" s="32" t="s">
        <v>279</v>
      </c>
      <c r="D156" s="7" t="s">
        <v>827</v>
      </c>
    </row>
    <row r="157" spans="1:5">
      <c r="A157" s="7"/>
      <c r="B157" s="7" t="s">
        <v>30</v>
      </c>
      <c r="C157" s="32" t="s">
        <v>279</v>
      </c>
      <c r="D157" s="7" t="s">
        <v>828</v>
      </c>
    </row>
    <row r="158" spans="1:5">
      <c r="A158" s="7"/>
      <c r="B158" s="7" t="s">
        <v>829</v>
      </c>
      <c r="C158" s="32" t="s">
        <v>276</v>
      </c>
      <c r="D158" s="7" t="s">
        <v>830</v>
      </c>
      <c r="E158" s="110" t="s">
        <v>831</v>
      </c>
    </row>
    <row r="159" spans="1:5">
      <c r="A159" s="7"/>
      <c r="B159" s="312" t="s">
        <v>832</v>
      </c>
      <c r="C159" s="313"/>
      <c r="D159" s="314"/>
    </row>
    <row r="160" spans="1:5">
      <c r="A160" s="7"/>
      <c r="B160" s="7" t="s">
        <v>833</v>
      </c>
      <c r="C160" s="32" t="s">
        <v>276</v>
      </c>
      <c r="D160" s="7" t="s">
        <v>835</v>
      </c>
    </row>
    <row r="161" spans="1:6">
      <c r="A161" s="7"/>
      <c r="B161" s="7" t="s">
        <v>834</v>
      </c>
      <c r="C161" s="32" t="s">
        <v>276</v>
      </c>
      <c r="D161" s="7" t="s">
        <v>836</v>
      </c>
    </row>
    <row r="162" spans="1:6">
      <c r="A162" s="7"/>
      <c r="B162" s="7" t="s">
        <v>837</v>
      </c>
      <c r="C162" s="32" t="s">
        <v>276</v>
      </c>
      <c r="D162" s="7" t="s">
        <v>838</v>
      </c>
      <c r="E162" s="17" t="s">
        <v>839</v>
      </c>
    </row>
    <row r="163" spans="1:6">
      <c r="A163" s="7"/>
      <c r="B163" s="303" t="s">
        <v>856</v>
      </c>
      <c r="C163" s="304"/>
      <c r="D163" s="305"/>
    </row>
    <row r="164" spans="1:6">
      <c r="A164" s="7"/>
      <c r="B164" s="4" t="s">
        <v>840</v>
      </c>
      <c r="C164" s="3" t="s">
        <v>276</v>
      </c>
      <c r="D164" s="7" t="s">
        <v>841</v>
      </c>
    </row>
    <row r="165" spans="1:6" ht="45">
      <c r="A165" s="7"/>
      <c r="B165" s="4" t="s">
        <v>842</v>
      </c>
      <c r="C165" s="3" t="s">
        <v>279</v>
      </c>
      <c r="D165" s="9" t="s">
        <v>843</v>
      </c>
    </row>
    <row r="166" spans="1:6">
      <c r="A166" s="7"/>
      <c r="B166" s="303" t="s">
        <v>857</v>
      </c>
      <c r="C166" s="304"/>
      <c r="D166" s="305"/>
    </row>
    <row r="167" spans="1:6">
      <c r="A167" s="7"/>
      <c r="B167" s="306" t="s">
        <v>844</v>
      </c>
      <c r="C167" s="307"/>
      <c r="D167" s="308"/>
    </row>
    <row r="168" spans="1:6">
      <c r="A168" s="7"/>
      <c r="B168" s="7"/>
      <c r="C168" s="32"/>
      <c r="D168" s="7"/>
    </row>
    <row r="169" spans="1:6" s="111" customFormat="1" ht="24" customHeight="1">
      <c r="A169" s="114"/>
      <c r="B169" s="191" t="s">
        <v>901</v>
      </c>
      <c r="C169" s="192"/>
      <c r="D169" s="193"/>
    </row>
    <row r="170" spans="1:6">
      <c r="A170" s="7"/>
      <c r="B170" s="7" t="s">
        <v>4</v>
      </c>
      <c r="C170" s="32" t="s">
        <v>279</v>
      </c>
      <c r="D170" s="7" t="s">
        <v>846</v>
      </c>
    </row>
    <row r="171" spans="1:6">
      <c r="A171" s="7"/>
      <c r="B171" s="7" t="s">
        <v>30</v>
      </c>
      <c r="C171" s="32" t="s">
        <v>279</v>
      </c>
      <c r="D171" s="7" t="s">
        <v>847</v>
      </c>
    </row>
    <row r="172" spans="1:6">
      <c r="A172" s="7"/>
      <c r="B172" s="7" t="s">
        <v>848</v>
      </c>
      <c r="C172" s="32" t="s">
        <v>276</v>
      </c>
      <c r="D172" s="7" t="s">
        <v>849</v>
      </c>
      <c r="E172" s="17" t="s">
        <v>853</v>
      </c>
    </row>
    <row r="173" spans="1:6">
      <c r="A173" s="7"/>
      <c r="B173" s="215" t="s">
        <v>850</v>
      </c>
      <c r="C173" s="216"/>
      <c r="D173" s="217"/>
    </row>
    <row r="174" spans="1:6" ht="90">
      <c r="A174" s="7"/>
      <c r="B174" s="6" t="s">
        <v>851</v>
      </c>
      <c r="C174" s="3" t="s">
        <v>276</v>
      </c>
      <c r="D174" s="5" t="s">
        <v>852</v>
      </c>
      <c r="E174" s="112" t="s">
        <v>854</v>
      </c>
      <c r="F174" s="112" t="s">
        <v>858</v>
      </c>
    </row>
    <row r="175" spans="1:6" ht="30">
      <c r="A175" s="7"/>
      <c r="B175" s="6" t="s">
        <v>907</v>
      </c>
      <c r="C175" s="3" t="s">
        <v>276</v>
      </c>
      <c r="D175" s="9" t="s">
        <v>891</v>
      </c>
      <c r="E175" s="112"/>
      <c r="F175" s="112"/>
    </row>
    <row r="176" spans="1:6" ht="75">
      <c r="A176" s="7"/>
      <c r="B176" s="6" t="s">
        <v>592</v>
      </c>
      <c r="C176" s="3" t="s">
        <v>276</v>
      </c>
      <c r="D176" s="5" t="s">
        <v>859</v>
      </c>
      <c r="E176" s="112"/>
    </row>
    <row r="177" spans="1:4">
      <c r="A177" s="7"/>
      <c r="B177" s="215" t="s">
        <v>747</v>
      </c>
      <c r="C177" s="216"/>
      <c r="D177" s="217"/>
    </row>
    <row r="178" spans="1:4">
      <c r="A178" s="7"/>
      <c r="B178" s="117"/>
      <c r="C178" s="118"/>
      <c r="D178" s="119"/>
    </row>
    <row r="179" spans="1:4" s="116" customFormat="1" ht="24.75" customHeight="1">
      <c r="A179" s="115"/>
      <c r="B179" s="191" t="s">
        <v>900</v>
      </c>
      <c r="C179" s="192"/>
      <c r="D179" s="193"/>
    </row>
    <row r="180" spans="1:4">
      <c r="A180" s="7"/>
      <c r="B180" s="7" t="s">
        <v>4</v>
      </c>
      <c r="C180" s="32" t="s">
        <v>279</v>
      </c>
      <c r="D180" s="7" t="s">
        <v>860</v>
      </c>
    </row>
    <row r="181" spans="1:4">
      <c r="A181" s="7"/>
      <c r="B181" s="7" t="s">
        <v>861</v>
      </c>
      <c r="C181" s="32" t="s">
        <v>279</v>
      </c>
      <c r="D181" s="7" t="s">
        <v>860</v>
      </c>
    </row>
    <row r="182" spans="1:4">
      <c r="A182" s="7"/>
      <c r="B182" s="7" t="s">
        <v>862</v>
      </c>
      <c r="C182" s="32" t="s">
        <v>276</v>
      </c>
      <c r="D182" s="7" t="s">
        <v>899</v>
      </c>
    </row>
    <row r="183" spans="1:4">
      <c r="A183" s="7"/>
      <c r="B183" s="215" t="s">
        <v>863</v>
      </c>
      <c r="C183" s="216"/>
      <c r="D183" s="217"/>
    </row>
    <row r="184" spans="1:4" s="106" customFormat="1">
      <c r="A184" s="4"/>
      <c r="B184" s="4" t="s">
        <v>871</v>
      </c>
      <c r="C184" s="3" t="s">
        <v>276</v>
      </c>
      <c r="D184" s="10" t="s">
        <v>889</v>
      </c>
    </row>
    <row r="185" spans="1:4" ht="30">
      <c r="A185" s="7"/>
      <c r="B185" s="7" t="s">
        <v>890</v>
      </c>
      <c r="C185" s="32" t="s">
        <v>276</v>
      </c>
      <c r="D185" s="9" t="s">
        <v>891</v>
      </c>
    </row>
    <row r="186" spans="1:4" ht="90">
      <c r="A186" s="7"/>
      <c r="B186" s="4" t="s">
        <v>892</v>
      </c>
      <c r="C186" s="3" t="s">
        <v>276</v>
      </c>
      <c r="D186" s="10" t="s">
        <v>898</v>
      </c>
    </row>
    <row r="187" spans="1:4" s="106" customFormat="1" ht="45">
      <c r="A187" s="4"/>
      <c r="B187" s="4" t="s">
        <v>893</v>
      </c>
      <c r="C187" s="3" t="s">
        <v>276</v>
      </c>
      <c r="D187" s="10" t="s">
        <v>897</v>
      </c>
    </row>
    <row r="188" spans="1:4">
      <c r="A188" s="7"/>
      <c r="B188" s="215" t="s">
        <v>855</v>
      </c>
      <c r="C188" s="216"/>
      <c r="D188" s="217"/>
    </row>
    <row r="189" spans="1:4">
      <c r="A189" s="7"/>
      <c r="B189" s="7"/>
      <c r="C189" s="32"/>
      <c r="D189" s="7"/>
    </row>
    <row r="190" spans="1:4">
      <c r="A190" s="7"/>
      <c r="B190" s="7"/>
      <c r="C190" s="32"/>
      <c r="D190" s="7"/>
    </row>
    <row r="191" spans="1:4">
      <c r="A191" s="7"/>
      <c r="B191" s="7"/>
      <c r="C191" s="32"/>
      <c r="D191" s="7"/>
    </row>
    <row r="192" spans="1:4">
      <c r="A192" s="7"/>
      <c r="B192" s="7"/>
      <c r="C192" s="32"/>
      <c r="D192" s="7"/>
    </row>
    <row r="193" spans="1:4">
      <c r="A193" s="7"/>
      <c r="B193" s="7"/>
      <c r="C193" s="32"/>
      <c r="D193" s="7"/>
    </row>
    <row r="194" spans="1:4">
      <c r="A194" s="7"/>
      <c r="B194" s="7"/>
      <c r="C194" s="32"/>
      <c r="D194" s="7"/>
    </row>
    <row r="195" spans="1:4">
      <c r="A195" s="7"/>
      <c r="B195" s="7"/>
      <c r="C195" s="32"/>
      <c r="D195" s="7"/>
    </row>
    <row r="196" spans="1:4">
      <c r="A196" s="7"/>
      <c r="B196" s="7"/>
      <c r="C196" s="32"/>
      <c r="D196" s="7"/>
    </row>
    <row r="197" spans="1:4">
      <c r="A197" s="7"/>
      <c r="B197" s="7"/>
      <c r="C197" s="32"/>
      <c r="D197" s="7"/>
    </row>
    <row r="198" spans="1:4">
      <c r="A198" s="7"/>
      <c r="B198" s="7"/>
      <c r="C198" s="32"/>
      <c r="D198" s="7"/>
    </row>
    <row r="199" spans="1:4">
      <c r="A199" s="7"/>
      <c r="B199" s="7"/>
      <c r="C199" s="32"/>
      <c r="D199" s="7"/>
    </row>
    <row r="200" spans="1:4">
      <c r="A200" s="7"/>
      <c r="B200" s="7"/>
      <c r="C200" s="32"/>
      <c r="D200" s="7"/>
    </row>
    <row r="201" spans="1:4">
      <c r="A201" s="7"/>
      <c r="B201" s="7"/>
      <c r="C201" s="32"/>
      <c r="D201" s="7"/>
    </row>
    <row r="202" spans="1:4">
      <c r="A202" s="7"/>
      <c r="B202" s="7"/>
      <c r="C202" s="32"/>
      <c r="D202" s="7"/>
    </row>
    <row r="203" spans="1:4">
      <c r="A203" s="7"/>
      <c r="B203" s="7"/>
      <c r="C203" s="32"/>
      <c r="D203" s="7"/>
    </row>
  </sheetData>
  <mergeCells count="26">
    <mergeCell ref="B2:D2"/>
    <mergeCell ref="B7:D7"/>
    <mergeCell ref="B16:D16"/>
    <mergeCell ref="B159:D159"/>
    <mergeCell ref="B28:D28"/>
    <mergeCell ref="B41:D41"/>
    <mergeCell ref="B52:D52"/>
    <mergeCell ref="B82:D82"/>
    <mergeCell ref="B33:D33"/>
    <mergeCell ref="B70:D70"/>
    <mergeCell ref="B79:D79"/>
    <mergeCell ref="B188:D188"/>
    <mergeCell ref="B115:D115"/>
    <mergeCell ref="B177:D177"/>
    <mergeCell ref="B179:D179"/>
    <mergeCell ref="B183:D183"/>
    <mergeCell ref="B124:D124"/>
    <mergeCell ref="B125:D125"/>
    <mergeCell ref="B133:D133"/>
    <mergeCell ref="B151:D151"/>
    <mergeCell ref="B155:D155"/>
    <mergeCell ref="B163:D163"/>
    <mergeCell ref="B166:D166"/>
    <mergeCell ref="B167:D167"/>
    <mergeCell ref="B169:D169"/>
    <mergeCell ref="B173:D17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6F66-A963-4210-A548-689FF21BF0D8}">
  <dimension ref="B1:M10"/>
  <sheetViews>
    <sheetView zoomScale="85" zoomScaleNormal="85" workbookViewId="0">
      <selection activeCell="C5" sqref="C5"/>
    </sheetView>
  </sheetViews>
  <sheetFormatPr defaultRowHeight="15"/>
  <cols>
    <col min="2" max="2" width="29.85546875" customWidth="1"/>
    <col min="3" max="3" width="38.28515625" customWidth="1"/>
    <col min="4" max="4" width="21.140625" style="1" customWidth="1"/>
    <col min="5" max="5" width="13.140625" customWidth="1"/>
    <col min="6" max="6" width="29.5703125" customWidth="1"/>
    <col min="7" max="7" width="23.7109375" customWidth="1"/>
    <col min="8" max="8" width="17.140625" customWidth="1"/>
    <col min="9" max="9" width="12.85546875" customWidth="1"/>
    <col min="12" max="12" width="59.140625" customWidth="1"/>
    <col min="13" max="13" width="53.42578125" customWidth="1"/>
  </cols>
  <sheetData>
    <row r="1" spans="2:13" ht="27.75" customHeight="1">
      <c r="B1" s="20" t="s">
        <v>123</v>
      </c>
      <c r="C1" s="20" t="s">
        <v>124</v>
      </c>
      <c r="D1" s="21" t="s">
        <v>152</v>
      </c>
      <c r="E1" s="20" t="s">
        <v>127</v>
      </c>
      <c r="F1" s="19" t="s">
        <v>149</v>
      </c>
      <c r="G1" s="19" t="s">
        <v>150</v>
      </c>
      <c r="H1" s="19" t="s">
        <v>154</v>
      </c>
      <c r="I1" s="18" t="s">
        <v>9</v>
      </c>
    </row>
    <row r="2" spans="2:13" ht="30">
      <c r="B2" s="25" t="s">
        <v>125</v>
      </c>
      <c r="C2" s="26" t="s">
        <v>108</v>
      </c>
      <c r="D2" s="27" t="s">
        <v>131</v>
      </c>
      <c r="E2" s="315" t="s">
        <v>128</v>
      </c>
      <c r="F2" s="28" t="s">
        <v>155</v>
      </c>
      <c r="G2" s="28" t="s">
        <v>151</v>
      </c>
      <c r="H2" s="28" t="s">
        <v>155</v>
      </c>
      <c r="I2" s="28" t="s">
        <v>155</v>
      </c>
    </row>
    <row r="3" spans="2:13" ht="30">
      <c r="B3" s="25" t="s">
        <v>126</v>
      </c>
      <c r="C3" s="29" t="s">
        <v>129</v>
      </c>
      <c r="D3" s="27" t="s">
        <v>130</v>
      </c>
      <c r="E3" s="315"/>
      <c r="F3" s="28" t="s">
        <v>155</v>
      </c>
      <c r="G3" s="28" t="s">
        <v>153</v>
      </c>
      <c r="H3" s="28" t="s">
        <v>155</v>
      </c>
      <c r="I3" s="28" t="s">
        <v>162</v>
      </c>
    </row>
    <row r="4" spans="2:13" ht="30">
      <c r="B4" s="26" t="s">
        <v>132</v>
      </c>
      <c r="C4" s="29" t="s">
        <v>134</v>
      </c>
      <c r="D4" s="27" t="s">
        <v>133</v>
      </c>
      <c r="E4" s="315"/>
      <c r="F4" s="28">
        <v>0</v>
      </c>
      <c r="G4" s="28" t="s">
        <v>153</v>
      </c>
      <c r="H4" s="28" t="s">
        <v>156</v>
      </c>
      <c r="I4" s="28" t="s">
        <v>163</v>
      </c>
    </row>
    <row r="5" spans="2:13" ht="135">
      <c r="B5" s="27" t="s">
        <v>161</v>
      </c>
      <c r="C5" s="29" t="s">
        <v>136</v>
      </c>
      <c r="D5" s="27" t="s">
        <v>135</v>
      </c>
      <c r="E5" s="315"/>
      <c r="F5" s="30" t="s">
        <v>160</v>
      </c>
      <c r="G5" s="28" t="s">
        <v>158</v>
      </c>
      <c r="H5" s="28" t="s">
        <v>157</v>
      </c>
      <c r="I5" s="28" t="s">
        <v>164</v>
      </c>
    </row>
    <row r="6" spans="2:13">
      <c r="B6" s="26" t="s">
        <v>137</v>
      </c>
      <c r="C6" s="27" t="s">
        <v>138</v>
      </c>
      <c r="D6" s="27" t="s">
        <v>139</v>
      </c>
      <c r="E6" s="315"/>
      <c r="F6" s="28" t="s">
        <v>155</v>
      </c>
      <c r="G6" s="28" t="s">
        <v>153</v>
      </c>
      <c r="H6" s="28" t="s">
        <v>155</v>
      </c>
      <c r="I6" s="28" t="s">
        <v>165</v>
      </c>
    </row>
    <row r="7" spans="2:13" ht="60">
      <c r="B7" s="4" t="s">
        <v>140</v>
      </c>
      <c r="C7" s="12" t="s">
        <v>141</v>
      </c>
      <c r="D7" s="10" t="s">
        <v>142</v>
      </c>
      <c r="E7" s="245" t="s">
        <v>148</v>
      </c>
      <c r="F7" s="3">
        <v>0</v>
      </c>
      <c r="G7" s="3" t="s">
        <v>153</v>
      </c>
      <c r="H7" s="3" t="s">
        <v>156</v>
      </c>
      <c r="I7" s="3" t="s">
        <v>163</v>
      </c>
      <c r="L7" s="23" t="s">
        <v>166</v>
      </c>
      <c r="M7" s="23" t="s">
        <v>167</v>
      </c>
    </row>
    <row r="8" spans="2:13" ht="30">
      <c r="B8" s="4" t="s">
        <v>143</v>
      </c>
      <c r="C8" s="10" t="s">
        <v>144</v>
      </c>
      <c r="D8" s="10" t="s">
        <v>145</v>
      </c>
      <c r="E8" s="245"/>
      <c r="F8" s="3" t="s">
        <v>155</v>
      </c>
      <c r="G8" s="3" t="s">
        <v>153</v>
      </c>
      <c r="H8" s="3" t="s">
        <v>156</v>
      </c>
      <c r="I8" s="3" t="s">
        <v>164</v>
      </c>
      <c r="L8" s="23" t="s">
        <v>169</v>
      </c>
      <c r="M8" s="23" t="s">
        <v>170</v>
      </c>
    </row>
    <row r="9" spans="2:13" ht="180">
      <c r="B9" s="4" t="s">
        <v>146</v>
      </c>
      <c r="C9" s="12" t="s">
        <v>147</v>
      </c>
      <c r="D9" s="10" t="s">
        <v>159</v>
      </c>
      <c r="E9" s="245"/>
      <c r="F9" s="22" t="s">
        <v>160</v>
      </c>
      <c r="G9" s="3" t="s">
        <v>158</v>
      </c>
      <c r="H9" s="3" t="s">
        <v>157</v>
      </c>
      <c r="I9" s="3" t="s">
        <v>164</v>
      </c>
      <c r="L9" s="23" t="s">
        <v>171</v>
      </c>
      <c r="M9" s="24" t="s">
        <v>173</v>
      </c>
    </row>
    <row r="10" spans="2:13">
      <c r="L10" s="23" t="s">
        <v>168</v>
      </c>
      <c r="M10" t="s">
        <v>172</v>
      </c>
    </row>
  </sheetData>
  <mergeCells count="2">
    <mergeCell ref="E2:E6"/>
    <mergeCell ref="E7:E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65BA0-A24E-4DCE-BE20-B53BFF198536}">
  <dimension ref="G3:W50"/>
  <sheetViews>
    <sheetView topLeftCell="F31" zoomScale="145" zoomScaleNormal="145" workbookViewId="0">
      <selection activeCell="K53" sqref="K53"/>
    </sheetView>
  </sheetViews>
  <sheetFormatPr defaultRowHeight="15"/>
  <cols>
    <col min="11" max="11" width="10.28515625" customWidth="1"/>
    <col min="16" max="16" width="11.28515625" customWidth="1"/>
    <col min="17" max="17" width="12.140625" customWidth="1"/>
    <col min="18" max="18" width="13.28515625" customWidth="1"/>
    <col min="19" max="19" width="12.7109375" customWidth="1"/>
    <col min="23" max="23" width="12.5703125" customWidth="1"/>
  </cols>
  <sheetData>
    <row r="3" spans="8:19" ht="27" customHeight="1">
      <c r="P3" s="319" t="s">
        <v>264</v>
      </c>
      <c r="Q3" s="319"/>
      <c r="R3" s="35" t="s">
        <v>266</v>
      </c>
      <c r="S3" s="16" t="s">
        <v>176</v>
      </c>
    </row>
    <row r="4" spans="8:19">
      <c r="P4" s="319" t="s">
        <v>265</v>
      </c>
      <c r="Q4" s="319"/>
      <c r="R4" s="319"/>
      <c r="S4" s="319"/>
    </row>
    <row r="5" spans="8:19">
      <c r="P5" s="319"/>
      <c r="Q5" s="319"/>
      <c r="R5" s="319"/>
      <c r="S5" s="319"/>
    </row>
    <row r="6" spans="8:19">
      <c r="P6" s="319"/>
      <c r="Q6" s="319"/>
      <c r="R6" s="319"/>
      <c r="S6" s="319"/>
    </row>
    <row r="7" spans="8:19">
      <c r="P7" s="319"/>
      <c r="Q7" s="319"/>
      <c r="R7" s="319"/>
      <c r="S7" s="319"/>
    </row>
    <row r="11" spans="8:19" ht="24" customHeight="1">
      <c r="H11" s="318" t="s">
        <v>175</v>
      </c>
      <c r="I11" s="318"/>
      <c r="J11" s="318"/>
      <c r="K11" s="31" t="s">
        <v>174</v>
      </c>
    </row>
    <row r="12" spans="8:19">
      <c r="H12" s="318" t="s">
        <v>175</v>
      </c>
      <c r="I12" s="318"/>
      <c r="J12" s="318"/>
      <c r="K12" s="318"/>
    </row>
    <row r="13" spans="8:19">
      <c r="H13" s="318"/>
      <c r="I13" s="318"/>
      <c r="J13" s="318"/>
      <c r="K13" s="318"/>
    </row>
    <row r="14" spans="8:19">
      <c r="H14" s="318"/>
      <c r="I14" s="318"/>
      <c r="J14" s="318"/>
      <c r="K14" s="318"/>
    </row>
    <row r="15" spans="8:19">
      <c r="H15" s="318"/>
      <c r="I15" s="318"/>
      <c r="J15" s="318"/>
      <c r="K15" s="318"/>
    </row>
    <row r="18" spans="7:23" ht="23.25" customHeight="1">
      <c r="T18" s="320" t="s">
        <v>178</v>
      </c>
      <c r="U18" s="320"/>
      <c r="V18" s="320"/>
      <c r="W18" s="16" t="s">
        <v>177</v>
      </c>
    </row>
    <row r="19" spans="7:23" ht="20.25" customHeight="1">
      <c r="T19" s="321" t="s">
        <v>262</v>
      </c>
      <c r="U19" s="322"/>
      <c r="V19" s="322"/>
      <c r="W19" s="323"/>
    </row>
    <row r="20" spans="7:23">
      <c r="T20" s="317" t="s">
        <v>263</v>
      </c>
      <c r="U20" s="317"/>
      <c r="V20" s="317"/>
      <c r="W20" s="317"/>
    </row>
    <row r="21" spans="7:23" ht="15.75" customHeight="1">
      <c r="T21" s="317"/>
      <c r="U21" s="317"/>
      <c r="V21" s="317"/>
      <c r="W21" s="317"/>
    </row>
    <row r="22" spans="7:23" ht="23.25" customHeight="1">
      <c r="T22" s="316" t="s">
        <v>180</v>
      </c>
      <c r="U22" s="316"/>
      <c r="V22" s="316"/>
      <c r="W22" s="316"/>
    </row>
    <row r="23" spans="7:23" ht="25.5" customHeight="1">
      <c r="T23" s="317" t="s">
        <v>179</v>
      </c>
      <c r="U23" s="317"/>
      <c r="V23" s="317"/>
      <c r="W23" s="317"/>
    </row>
    <row r="32" spans="7:23">
      <c r="G32" s="7"/>
      <c r="H32" s="7"/>
      <c r="I32" s="7"/>
      <c r="J32" s="7"/>
      <c r="K32" s="7"/>
      <c r="L32" s="7"/>
      <c r="M32" s="7"/>
      <c r="N32" s="7"/>
      <c r="O32" s="7"/>
      <c r="P32" s="7"/>
      <c r="Q32" s="7"/>
      <c r="R32" s="7"/>
      <c r="S32" s="7"/>
      <c r="T32" s="7"/>
    </row>
    <row r="33" spans="7:20">
      <c r="G33" s="7"/>
      <c r="H33" s="7"/>
      <c r="I33" s="7"/>
      <c r="J33" s="7"/>
      <c r="K33" s="7"/>
      <c r="L33" s="7"/>
      <c r="M33" s="7"/>
      <c r="N33" s="7"/>
      <c r="O33" s="7"/>
      <c r="P33" s="7"/>
      <c r="Q33" s="7"/>
      <c r="R33" s="7"/>
      <c r="S33" s="7"/>
      <c r="T33" s="7"/>
    </row>
    <row r="34" spans="7:20">
      <c r="G34" s="7"/>
      <c r="H34" s="7"/>
      <c r="I34" s="7"/>
      <c r="J34" s="7"/>
      <c r="K34" s="7"/>
      <c r="L34" s="7"/>
      <c r="M34" s="7"/>
      <c r="N34" s="7"/>
      <c r="O34" s="7"/>
      <c r="P34" s="7"/>
      <c r="Q34" s="7"/>
      <c r="R34" s="7"/>
      <c r="S34" s="7"/>
      <c r="T34" s="7"/>
    </row>
    <row r="35" spans="7:20">
      <c r="G35" s="7"/>
      <c r="H35" s="7"/>
      <c r="I35" s="7"/>
      <c r="J35" s="7"/>
      <c r="K35" s="7"/>
      <c r="L35" s="7"/>
      <c r="M35" s="7"/>
      <c r="N35" s="159"/>
      <c r="O35" s="7"/>
      <c r="P35" s="7"/>
      <c r="Q35" s="7"/>
      <c r="R35" s="7"/>
      <c r="S35" s="7"/>
      <c r="T35" s="7"/>
    </row>
    <row r="36" spans="7:20">
      <c r="G36" s="7"/>
      <c r="H36" s="7"/>
      <c r="I36" s="7"/>
      <c r="J36" s="7"/>
      <c r="K36" s="7"/>
      <c r="L36" s="7"/>
      <c r="M36" s="159"/>
      <c r="N36" s="159"/>
      <c r="O36" s="159"/>
      <c r="P36" s="7"/>
      <c r="Q36" s="7"/>
      <c r="R36" s="7"/>
      <c r="S36" s="7"/>
      <c r="T36" s="7"/>
    </row>
    <row r="37" spans="7:20">
      <c r="G37" s="7"/>
      <c r="H37" s="7"/>
      <c r="I37" s="7"/>
      <c r="J37" s="7"/>
      <c r="K37" s="7"/>
      <c r="L37" s="7"/>
      <c r="M37" s="159"/>
      <c r="N37" s="159" t="s">
        <v>1226</v>
      </c>
      <c r="O37" s="159"/>
      <c r="P37" s="7"/>
      <c r="Q37" s="7"/>
      <c r="R37" s="7"/>
      <c r="S37" s="7"/>
      <c r="T37" s="7"/>
    </row>
    <row r="38" spans="7:20">
      <c r="G38" s="7"/>
      <c r="H38" s="7"/>
      <c r="I38" s="160"/>
      <c r="J38" s="160"/>
      <c r="K38" s="160"/>
      <c r="L38" s="7"/>
      <c r="M38" s="159"/>
      <c r="N38" s="159"/>
      <c r="O38" s="159"/>
      <c r="P38" s="7"/>
      <c r="Q38" s="7"/>
      <c r="R38" s="7"/>
      <c r="S38" s="7"/>
      <c r="T38" s="7"/>
    </row>
    <row r="39" spans="7:20">
      <c r="G39" s="7"/>
      <c r="H39" s="7"/>
      <c r="I39" s="160"/>
      <c r="J39" s="160" t="s">
        <v>14</v>
      </c>
      <c r="K39" s="160"/>
      <c r="L39" s="7"/>
      <c r="M39" s="159"/>
      <c r="N39" s="159"/>
      <c r="O39" s="159"/>
      <c r="P39" s="7"/>
      <c r="Q39" s="7"/>
      <c r="R39" s="7"/>
      <c r="S39" s="7"/>
      <c r="T39" s="7"/>
    </row>
    <row r="40" spans="7:20">
      <c r="G40" s="7"/>
      <c r="H40" s="7"/>
      <c r="I40" s="160"/>
      <c r="J40" s="160"/>
      <c r="K40" s="160"/>
      <c r="L40" s="7"/>
      <c r="M40" s="7"/>
      <c r="N40" s="159"/>
      <c r="O40" s="7"/>
      <c r="P40" s="7"/>
      <c r="Q40" s="7"/>
      <c r="R40" s="7"/>
      <c r="S40" s="7"/>
      <c r="T40" s="7"/>
    </row>
    <row r="41" spans="7:20">
      <c r="G41" s="7"/>
      <c r="H41" s="7"/>
      <c r="I41" s="160"/>
      <c r="J41" s="160"/>
      <c r="K41" s="160"/>
      <c r="L41" s="7"/>
      <c r="M41" s="7"/>
      <c r="N41" s="7"/>
      <c r="O41" s="7"/>
      <c r="P41" s="7"/>
      <c r="Q41" s="7"/>
      <c r="R41" s="7"/>
      <c r="S41" s="7"/>
      <c r="T41" s="7"/>
    </row>
    <row r="42" spans="7:20">
      <c r="G42" s="7"/>
      <c r="H42" s="7"/>
      <c r="I42" s="7"/>
      <c r="J42" s="7"/>
      <c r="K42" s="7"/>
      <c r="L42" s="7"/>
      <c r="M42" s="7"/>
      <c r="N42" s="7"/>
      <c r="O42" s="7"/>
      <c r="P42" s="7"/>
      <c r="Q42" s="7"/>
      <c r="R42" s="7"/>
      <c r="S42" s="7"/>
      <c r="T42" s="7"/>
    </row>
    <row r="43" spans="7:20">
      <c r="G43" s="7"/>
      <c r="H43" s="7"/>
      <c r="I43" s="7"/>
      <c r="J43" s="161"/>
      <c r="K43" s="161"/>
      <c r="L43" s="161"/>
      <c r="M43" s="161"/>
      <c r="N43" s="161"/>
      <c r="O43" s="161"/>
      <c r="P43" s="7"/>
      <c r="Q43" s="7"/>
      <c r="R43" s="7"/>
      <c r="S43" s="7"/>
      <c r="T43" s="7"/>
    </row>
    <row r="44" spans="7:20">
      <c r="G44" s="7"/>
      <c r="H44" s="7"/>
      <c r="I44" s="7"/>
      <c r="J44" s="161"/>
      <c r="K44" s="161"/>
      <c r="L44" s="161" t="s">
        <v>1225</v>
      </c>
      <c r="M44" s="161"/>
      <c r="N44" s="161"/>
      <c r="O44" s="161"/>
      <c r="P44" s="7"/>
      <c r="Q44" s="7"/>
      <c r="R44" s="7"/>
      <c r="S44" s="7"/>
      <c r="T44" s="7"/>
    </row>
    <row r="45" spans="7:20">
      <c r="G45" s="7"/>
      <c r="H45" s="7"/>
      <c r="I45" s="7"/>
      <c r="J45" s="161"/>
      <c r="K45" s="161"/>
      <c r="L45" s="161"/>
      <c r="M45" s="161"/>
      <c r="N45" s="161"/>
      <c r="O45" s="161"/>
      <c r="P45" s="7"/>
      <c r="Q45" s="7"/>
      <c r="R45" s="7"/>
      <c r="S45" s="7"/>
      <c r="T45" s="7"/>
    </row>
    <row r="46" spans="7:20">
      <c r="G46" s="7"/>
      <c r="H46" s="7"/>
      <c r="I46" s="7"/>
      <c r="J46" s="161"/>
      <c r="K46" s="161"/>
      <c r="L46" s="161"/>
      <c r="M46" s="161"/>
      <c r="N46" s="161"/>
      <c r="O46" s="161"/>
      <c r="P46" s="7"/>
      <c r="Q46" s="7"/>
      <c r="R46" s="7"/>
      <c r="S46" s="7"/>
      <c r="T46" s="7"/>
    </row>
    <row r="47" spans="7:20">
      <c r="G47" s="7"/>
      <c r="H47" s="7"/>
      <c r="I47" s="7"/>
      <c r="J47" s="7"/>
      <c r="K47" s="7"/>
      <c r="L47" s="7"/>
      <c r="M47" s="7"/>
      <c r="N47" s="7"/>
      <c r="O47" s="7"/>
      <c r="P47" s="7"/>
      <c r="Q47" s="7"/>
      <c r="R47" s="7"/>
      <c r="S47" s="7"/>
      <c r="T47" s="7"/>
    </row>
    <row r="48" spans="7:20">
      <c r="G48" s="7"/>
      <c r="H48" s="7"/>
      <c r="I48" s="7"/>
      <c r="J48" s="7"/>
      <c r="K48" s="7"/>
      <c r="L48" s="7"/>
      <c r="M48" s="7"/>
      <c r="N48" s="7"/>
      <c r="O48" s="7"/>
      <c r="P48" s="7"/>
      <c r="Q48" s="7"/>
      <c r="R48" s="7"/>
      <c r="S48" s="7"/>
      <c r="T48" s="7"/>
    </row>
    <row r="49" spans="7:20">
      <c r="G49" s="7"/>
      <c r="H49" s="7"/>
      <c r="I49" s="7"/>
      <c r="J49" s="7"/>
      <c r="K49" s="7"/>
      <c r="L49" s="7"/>
      <c r="M49" s="7"/>
      <c r="N49" s="7"/>
      <c r="O49" s="7"/>
      <c r="P49" s="7"/>
      <c r="Q49" s="7"/>
      <c r="R49" s="7"/>
      <c r="S49" s="7"/>
      <c r="T49" s="7"/>
    </row>
    <row r="50" spans="7:20">
      <c r="G50" s="7"/>
      <c r="H50" s="7"/>
      <c r="I50" s="7"/>
      <c r="J50" s="7"/>
      <c r="K50" s="7"/>
      <c r="L50" s="7"/>
      <c r="M50" s="7"/>
      <c r="N50" s="7"/>
      <c r="O50" s="7"/>
      <c r="P50" s="7"/>
      <c r="Q50" s="7"/>
      <c r="R50" s="7"/>
      <c r="S50" s="7"/>
      <c r="T50" s="7"/>
    </row>
  </sheetData>
  <mergeCells count="9">
    <mergeCell ref="T22:W22"/>
    <mergeCell ref="T23:W23"/>
    <mergeCell ref="H11:J11"/>
    <mergeCell ref="H12:K15"/>
    <mergeCell ref="P3:Q3"/>
    <mergeCell ref="P4:S7"/>
    <mergeCell ref="T18:V18"/>
    <mergeCell ref="T19:W19"/>
    <mergeCell ref="T20:W2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7A571-A061-4320-BDEE-B1DC80EB2A18}">
  <dimension ref="A2:J242"/>
  <sheetViews>
    <sheetView tabSelected="1" topLeftCell="A10" workbookViewId="0">
      <selection activeCell="C28" sqref="C28:G30"/>
    </sheetView>
  </sheetViews>
  <sheetFormatPr defaultRowHeight="15"/>
  <cols>
    <col min="3" max="3" width="35.85546875" customWidth="1"/>
    <col min="4" max="4" width="48.7109375" style="1" customWidth="1"/>
    <col min="5" max="5" width="41.5703125" style="138" customWidth="1"/>
    <col min="6" max="6" width="31.85546875" style="1" customWidth="1"/>
    <col min="7" max="7" width="30.7109375" customWidth="1"/>
  </cols>
  <sheetData>
    <row r="2" spans="1:10">
      <c r="A2" s="7" t="s">
        <v>0</v>
      </c>
      <c r="B2" s="7"/>
      <c r="C2" s="36" t="s">
        <v>928</v>
      </c>
      <c r="D2" s="125" t="s">
        <v>929</v>
      </c>
      <c r="E2" s="156" t="s">
        <v>3</v>
      </c>
      <c r="F2" s="125" t="s">
        <v>969</v>
      </c>
      <c r="G2" s="36"/>
    </row>
    <row r="3" spans="1:10" ht="54.75" customHeight="1">
      <c r="A3" s="7"/>
      <c r="B3" s="176" t="s">
        <v>1228</v>
      </c>
      <c r="C3" s="177"/>
      <c r="D3" s="177"/>
      <c r="E3" s="177"/>
      <c r="F3" s="177"/>
      <c r="G3" s="178"/>
    </row>
    <row r="4" spans="1:10" ht="30">
      <c r="A4" s="7"/>
      <c r="B4" s="3">
        <v>0</v>
      </c>
      <c r="C4" s="3" t="s">
        <v>1189</v>
      </c>
      <c r="D4" s="152" t="s">
        <v>272</v>
      </c>
      <c r="E4" s="137" t="s">
        <v>1190</v>
      </c>
      <c r="F4" s="129"/>
      <c r="G4" s="32"/>
    </row>
    <row r="5" spans="1:10" ht="30">
      <c r="A5" s="7"/>
      <c r="B5" s="3">
        <v>1</v>
      </c>
      <c r="C5" s="3" t="s">
        <v>1191</v>
      </c>
      <c r="D5" s="152" t="s">
        <v>272</v>
      </c>
      <c r="E5" s="137" t="s">
        <v>1192</v>
      </c>
      <c r="F5" s="129" t="s">
        <v>1230</v>
      </c>
      <c r="G5" s="32"/>
    </row>
    <row r="6" spans="1:10" ht="18.75" customHeight="1">
      <c r="A6" s="7"/>
      <c r="B6" s="3">
        <v>2</v>
      </c>
      <c r="C6" s="3" t="s">
        <v>1193</v>
      </c>
      <c r="D6" s="152" t="s">
        <v>272</v>
      </c>
      <c r="E6" s="5" t="s">
        <v>1194</v>
      </c>
      <c r="F6" s="129"/>
      <c r="G6" s="32"/>
    </row>
    <row r="7" spans="1:10" ht="18.75" customHeight="1">
      <c r="A7" s="7"/>
      <c r="B7" s="3"/>
      <c r="C7" s="3"/>
      <c r="D7" s="152"/>
      <c r="E7" s="5"/>
      <c r="F7" s="129"/>
      <c r="G7" s="32"/>
    </row>
    <row r="8" spans="1:10" ht="48.75" customHeight="1">
      <c r="A8" s="7"/>
      <c r="B8" s="176" t="s">
        <v>1229</v>
      </c>
      <c r="C8" s="177"/>
      <c r="D8" s="177"/>
      <c r="E8" s="177"/>
      <c r="F8" s="177"/>
      <c r="G8" s="178"/>
    </row>
    <row r="9" spans="1:10" ht="45.75" customHeight="1">
      <c r="A9" s="7"/>
      <c r="B9" s="3">
        <v>0</v>
      </c>
      <c r="C9" s="3" t="s">
        <v>1189</v>
      </c>
      <c r="D9" s="152" t="s">
        <v>272</v>
      </c>
      <c r="E9" s="5" t="s">
        <v>1195</v>
      </c>
      <c r="F9" s="129"/>
      <c r="G9" s="32"/>
    </row>
    <row r="10" spans="1:10" ht="34.5" customHeight="1">
      <c r="A10" s="7"/>
      <c r="B10" s="3">
        <v>1</v>
      </c>
      <c r="C10" s="3" t="s">
        <v>1191</v>
      </c>
      <c r="D10" s="152" t="s">
        <v>272</v>
      </c>
      <c r="E10" s="5" t="s">
        <v>1196</v>
      </c>
      <c r="F10" s="129" t="s">
        <v>1230</v>
      </c>
      <c r="G10" s="32"/>
    </row>
    <row r="11" spans="1:10" ht="18.75" customHeight="1">
      <c r="A11" s="7"/>
      <c r="B11" s="3">
        <v>2</v>
      </c>
      <c r="C11" s="3" t="s">
        <v>1193</v>
      </c>
      <c r="D11" s="152" t="s">
        <v>272</v>
      </c>
      <c r="E11" s="5" t="s">
        <v>1197</v>
      </c>
      <c r="F11" s="129"/>
      <c r="G11" s="32"/>
    </row>
    <row r="12" spans="1:10">
      <c r="A12" s="7"/>
      <c r="B12" s="3"/>
      <c r="C12" s="36"/>
      <c r="D12" s="125"/>
      <c r="E12" s="136"/>
      <c r="F12" s="125"/>
      <c r="G12" s="36"/>
    </row>
    <row r="13" spans="1:10">
      <c r="A13" s="7" t="s">
        <v>978</v>
      </c>
      <c r="B13" s="197" t="s">
        <v>1040</v>
      </c>
      <c r="C13" s="198"/>
      <c r="D13" s="198"/>
      <c r="E13" s="198"/>
      <c r="F13" s="198"/>
      <c r="G13" s="199"/>
    </row>
    <row r="14" spans="1:10">
      <c r="A14" s="7" t="s">
        <v>979</v>
      </c>
      <c r="B14" s="188" t="s">
        <v>962</v>
      </c>
      <c r="C14" s="189"/>
      <c r="D14" s="189"/>
      <c r="E14" s="189"/>
      <c r="F14" s="189"/>
      <c r="G14" s="190"/>
    </row>
    <row r="15" spans="1:10">
      <c r="A15" s="7"/>
      <c r="B15" s="168">
        <v>0</v>
      </c>
      <c r="C15" s="32" t="s">
        <v>707</v>
      </c>
      <c r="D15" s="129" t="s">
        <v>279</v>
      </c>
      <c r="E15" s="137" t="s">
        <v>945</v>
      </c>
      <c r="F15" s="129"/>
      <c r="G15" s="32"/>
      <c r="J15" t="s">
        <v>941</v>
      </c>
    </row>
    <row r="16" spans="1:10" ht="45">
      <c r="A16" s="7"/>
      <c r="B16" s="169"/>
      <c r="C16" s="32" t="s">
        <v>940</v>
      </c>
      <c r="D16" s="129" t="s">
        <v>279</v>
      </c>
      <c r="E16" s="137" t="s">
        <v>946</v>
      </c>
      <c r="F16" s="129" t="s">
        <v>1231</v>
      </c>
      <c r="G16" s="32"/>
    </row>
    <row r="17" spans="1:7">
      <c r="A17" s="7"/>
      <c r="B17" s="168">
        <v>1</v>
      </c>
      <c r="C17" s="32" t="s">
        <v>942</v>
      </c>
      <c r="D17" s="129" t="s">
        <v>276</v>
      </c>
      <c r="E17" s="137" t="s">
        <v>943</v>
      </c>
      <c r="F17" s="129" t="s">
        <v>1240</v>
      </c>
      <c r="G17" s="32"/>
    </row>
    <row r="18" spans="1:7">
      <c r="A18" s="7"/>
      <c r="B18" s="170"/>
      <c r="C18" s="32" t="s">
        <v>185</v>
      </c>
      <c r="D18" s="129" t="s">
        <v>276</v>
      </c>
      <c r="E18" s="137" t="s">
        <v>944</v>
      </c>
      <c r="F18" s="129" t="s">
        <v>1240</v>
      </c>
      <c r="G18" s="32"/>
    </row>
    <row r="19" spans="1:7">
      <c r="A19" s="7"/>
      <c r="B19" s="170"/>
      <c r="C19" s="32" t="s">
        <v>958</v>
      </c>
      <c r="D19" s="129" t="s">
        <v>276</v>
      </c>
      <c r="E19" s="137" t="s">
        <v>959</v>
      </c>
      <c r="F19" s="129" t="s">
        <v>1241</v>
      </c>
      <c r="G19" s="32"/>
    </row>
    <row r="20" spans="1:7">
      <c r="A20" s="7"/>
      <c r="B20" s="169"/>
      <c r="C20" s="32" t="s">
        <v>960</v>
      </c>
      <c r="D20" s="129" t="s">
        <v>276</v>
      </c>
      <c r="E20" s="137" t="s">
        <v>961</v>
      </c>
      <c r="F20" s="129" t="s">
        <v>1240</v>
      </c>
      <c r="G20" s="32"/>
    </row>
    <row r="21" spans="1:7" ht="30">
      <c r="A21" s="7"/>
      <c r="B21" s="3">
        <v>2</v>
      </c>
      <c r="C21" s="32" t="s">
        <v>947</v>
      </c>
      <c r="D21" s="129" t="s">
        <v>948</v>
      </c>
      <c r="E21" s="137" t="s">
        <v>949</v>
      </c>
      <c r="F21" s="129"/>
      <c r="G21" s="32"/>
    </row>
    <row r="22" spans="1:7" ht="45">
      <c r="A22" s="7"/>
      <c r="B22" s="168">
        <v>3</v>
      </c>
      <c r="C22" s="32" t="s">
        <v>950</v>
      </c>
      <c r="D22" s="129" t="s">
        <v>276</v>
      </c>
      <c r="E22" s="137" t="s">
        <v>951</v>
      </c>
      <c r="F22" s="129" t="s">
        <v>1241</v>
      </c>
      <c r="G22" s="32"/>
    </row>
    <row r="23" spans="1:7">
      <c r="A23" s="7"/>
      <c r="B23" s="170"/>
      <c r="C23" s="32" t="s">
        <v>952</v>
      </c>
      <c r="D23" s="129" t="s">
        <v>276</v>
      </c>
      <c r="E23" s="137" t="s">
        <v>953</v>
      </c>
      <c r="F23" s="129" t="s">
        <v>1242</v>
      </c>
      <c r="G23" s="32"/>
    </row>
    <row r="24" spans="1:7">
      <c r="A24" s="7"/>
      <c r="B24" s="170"/>
      <c r="C24" s="32" t="s">
        <v>954</v>
      </c>
      <c r="D24" s="129" t="s">
        <v>276</v>
      </c>
      <c r="E24" s="137" t="s">
        <v>955</v>
      </c>
      <c r="F24" s="129" t="s">
        <v>1243</v>
      </c>
      <c r="G24" s="32"/>
    </row>
    <row r="25" spans="1:7">
      <c r="A25" s="7"/>
      <c r="B25" s="169"/>
      <c r="C25" s="32" t="s">
        <v>956</v>
      </c>
      <c r="D25" s="129" t="s">
        <v>276</v>
      </c>
      <c r="E25" s="137" t="s">
        <v>178</v>
      </c>
      <c r="F25" s="129"/>
      <c r="G25" s="32"/>
    </row>
    <row r="26" spans="1:7">
      <c r="A26" s="7"/>
      <c r="B26" s="3">
        <v>4</v>
      </c>
      <c r="C26" s="32" t="s">
        <v>189</v>
      </c>
      <c r="D26" s="129" t="s">
        <v>276</v>
      </c>
      <c r="E26" s="137" t="s">
        <v>957</v>
      </c>
      <c r="F26" s="129"/>
      <c r="G26" s="32"/>
    </row>
    <row r="27" spans="1:7">
      <c r="A27" s="7"/>
      <c r="B27" s="162"/>
      <c r="C27" s="209" t="s">
        <v>963</v>
      </c>
      <c r="D27" s="210"/>
      <c r="E27" s="210"/>
      <c r="F27" s="210"/>
      <c r="G27" s="211"/>
    </row>
    <row r="28" spans="1:7" ht="30">
      <c r="A28" s="7"/>
      <c r="B28" s="168">
        <v>0</v>
      </c>
      <c r="C28" s="32" t="s">
        <v>9</v>
      </c>
      <c r="D28" s="129" t="s">
        <v>279</v>
      </c>
      <c r="E28" s="137" t="s">
        <v>964</v>
      </c>
      <c r="F28" s="129"/>
      <c r="G28" s="32"/>
    </row>
    <row r="29" spans="1:7" ht="30">
      <c r="A29" s="7"/>
      <c r="B29" s="169"/>
      <c r="C29" s="32" t="s">
        <v>965</v>
      </c>
      <c r="D29" s="129" t="s">
        <v>279</v>
      </c>
      <c r="E29" s="137" t="s">
        <v>966</v>
      </c>
      <c r="F29" s="129" t="s">
        <v>970</v>
      </c>
      <c r="G29" s="32"/>
    </row>
    <row r="30" spans="1:7" ht="45">
      <c r="A30" s="7"/>
      <c r="B30" s="168">
        <v>1</v>
      </c>
      <c r="C30" s="32" t="s">
        <v>967</v>
      </c>
      <c r="D30" s="129" t="s">
        <v>279</v>
      </c>
      <c r="E30" s="137" t="s">
        <v>968</v>
      </c>
      <c r="F30" s="129" t="s">
        <v>1245</v>
      </c>
      <c r="G30" s="32"/>
    </row>
    <row r="31" spans="1:7">
      <c r="A31" s="7"/>
      <c r="B31" s="170"/>
      <c r="C31" s="32" t="s">
        <v>736</v>
      </c>
      <c r="D31" s="129" t="s">
        <v>276</v>
      </c>
      <c r="E31" s="137" t="s">
        <v>971</v>
      </c>
      <c r="F31" s="129"/>
      <c r="G31" s="32"/>
    </row>
    <row r="32" spans="1:7">
      <c r="A32" s="7"/>
      <c r="B32" s="169"/>
      <c r="C32" s="32" t="s">
        <v>972</v>
      </c>
      <c r="D32" s="129" t="s">
        <v>276</v>
      </c>
      <c r="E32" s="137" t="s">
        <v>973</v>
      </c>
      <c r="F32" s="129" t="s">
        <v>1240</v>
      </c>
      <c r="G32" s="32"/>
    </row>
    <row r="33" spans="1:7">
      <c r="A33" s="7"/>
      <c r="B33" s="167"/>
      <c r="C33" s="212" t="s">
        <v>743</v>
      </c>
      <c r="D33" s="213"/>
      <c r="E33" s="213"/>
      <c r="F33" s="213"/>
      <c r="G33" s="214"/>
    </row>
    <row r="34" spans="1:7">
      <c r="A34" s="7"/>
      <c r="B34" s="3">
        <v>0</v>
      </c>
      <c r="C34" s="32" t="s">
        <v>974</v>
      </c>
      <c r="D34" s="129" t="s">
        <v>279</v>
      </c>
      <c r="E34" s="137" t="s">
        <v>975</v>
      </c>
      <c r="F34" s="129" t="s">
        <v>1244</v>
      </c>
      <c r="G34" s="32"/>
    </row>
    <row r="35" spans="1:7">
      <c r="A35" s="7"/>
      <c r="B35" s="3">
        <v>1</v>
      </c>
      <c r="C35" s="32" t="s">
        <v>976</v>
      </c>
      <c r="D35" s="129" t="s">
        <v>1232</v>
      </c>
      <c r="E35" s="137" t="s">
        <v>977</v>
      </c>
      <c r="F35" s="129" t="s">
        <v>1233</v>
      </c>
      <c r="G35" s="32"/>
    </row>
    <row r="36" spans="1:7">
      <c r="A36" s="7"/>
      <c r="B36" s="162"/>
      <c r="C36" s="209" t="s">
        <v>855</v>
      </c>
      <c r="D36" s="210"/>
      <c r="E36" s="210"/>
      <c r="F36" s="210"/>
      <c r="G36" s="211"/>
    </row>
    <row r="37" spans="1:7" s="134" customFormat="1">
      <c r="A37" s="130"/>
      <c r="B37" s="163"/>
      <c r="C37" s="131"/>
      <c r="D37" s="132"/>
      <c r="E37" s="135"/>
      <c r="F37" s="132"/>
      <c r="G37" s="133"/>
    </row>
    <row r="38" spans="1:7">
      <c r="A38" s="7" t="s">
        <v>980</v>
      </c>
      <c r="B38" s="164"/>
      <c r="C38" s="188" t="s">
        <v>751</v>
      </c>
      <c r="D38" s="189"/>
      <c r="E38" s="189"/>
      <c r="F38" s="189"/>
      <c r="G38" s="190"/>
    </row>
    <row r="39" spans="1:7">
      <c r="A39" s="7"/>
      <c r="B39" s="168">
        <v>0</v>
      </c>
      <c r="C39" s="32" t="s">
        <v>9</v>
      </c>
      <c r="D39" s="129" t="s">
        <v>279</v>
      </c>
      <c r="E39" s="137"/>
      <c r="F39" s="129"/>
      <c r="G39" s="32"/>
    </row>
    <row r="40" spans="1:7">
      <c r="A40" s="7"/>
      <c r="B40" s="169"/>
      <c r="C40" s="32" t="s">
        <v>516</v>
      </c>
      <c r="D40" s="129" t="s">
        <v>279</v>
      </c>
      <c r="E40" s="137"/>
      <c r="F40" s="129" t="s">
        <v>1234</v>
      </c>
      <c r="G40" s="32"/>
    </row>
    <row r="41" spans="1:7" ht="45">
      <c r="A41" s="7"/>
      <c r="B41" s="168">
        <v>1</v>
      </c>
      <c r="C41" s="32" t="s">
        <v>517</v>
      </c>
      <c r="D41" s="129" t="s">
        <v>279</v>
      </c>
      <c r="E41" s="137"/>
      <c r="F41" s="129" t="s">
        <v>1231</v>
      </c>
      <c r="G41" s="32"/>
    </row>
    <row r="42" spans="1:7">
      <c r="A42" s="7"/>
      <c r="B42" s="169"/>
      <c r="C42" s="32" t="s">
        <v>981</v>
      </c>
      <c r="D42" s="129" t="s">
        <v>279</v>
      </c>
      <c r="E42" s="137"/>
      <c r="F42" s="129"/>
      <c r="G42" s="32"/>
    </row>
    <row r="43" spans="1:7">
      <c r="A43" s="7"/>
      <c r="B43" s="168">
        <v>2</v>
      </c>
      <c r="C43" s="32" t="s">
        <v>982</v>
      </c>
      <c r="D43" s="129" t="s">
        <v>276</v>
      </c>
      <c r="E43" s="137"/>
      <c r="F43" s="129"/>
      <c r="G43" s="32"/>
    </row>
    <row r="44" spans="1:7">
      <c r="A44" s="7"/>
      <c r="B44" s="170"/>
      <c r="C44" s="32" t="s">
        <v>511</v>
      </c>
      <c r="D44" s="129" t="s">
        <v>276</v>
      </c>
      <c r="E44" s="137"/>
      <c r="F44" s="129"/>
      <c r="G44" s="32"/>
    </row>
    <row r="45" spans="1:7">
      <c r="A45" s="7"/>
      <c r="B45" s="170"/>
      <c r="C45" s="32" t="s">
        <v>512</v>
      </c>
      <c r="D45" s="129" t="s">
        <v>276</v>
      </c>
      <c r="E45" s="137"/>
      <c r="F45" s="129"/>
      <c r="G45" s="32"/>
    </row>
    <row r="46" spans="1:7">
      <c r="A46" s="7"/>
      <c r="B46" s="169"/>
      <c r="C46" s="32" t="s">
        <v>983</v>
      </c>
      <c r="D46" s="129" t="s">
        <v>276</v>
      </c>
      <c r="E46" s="137"/>
      <c r="F46" s="129"/>
      <c r="G46" s="32"/>
    </row>
    <row r="47" spans="1:7">
      <c r="A47" s="7"/>
      <c r="B47" s="3">
        <v>3</v>
      </c>
      <c r="C47" s="32" t="s">
        <v>984</v>
      </c>
      <c r="D47" s="129" t="s">
        <v>272</v>
      </c>
      <c r="E47" s="137"/>
      <c r="F47" s="129"/>
      <c r="G47" s="32"/>
    </row>
    <row r="48" spans="1:7" ht="30">
      <c r="A48" s="7"/>
      <c r="B48" s="168">
        <v>4</v>
      </c>
      <c r="C48" s="32" t="s">
        <v>985</v>
      </c>
      <c r="D48" s="129" t="s">
        <v>279</v>
      </c>
      <c r="E48" s="137" t="s">
        <v>986</v>
      </c>
      <c r="F48" s="129" t="s">
        <v>987</v>
      </c>
      <c r="G48" s="32"/>
    </row>
    <row r="49" spans="1:7">
      <c r="A49" s="7"/>
      <c r="B49" s="170"/>
      <c r="C49" s="32" t="s">
        <v>988</v>
      </c>
      <c r="D49" s="129" t="s">
        <v>276</v>
      </c>
      <c r="E49" s="137"/>
      <c r="F49" s="129"/>
      <c r="G49" s="32"/>
    </row>
    <row r="50" spans="1:7">
      <c r="A50" s="7"/>
      <c r="B50" s="169"/>
      <c r="C50" s="32" t="s">
        <v>989</v>
      </c>
      <c r="D50" s="129" t="s">
        <v>276</v>
      </c>
      <c r="E50" s="137"/>
      <c r="F50" s="129"/>
      <c r="G50" s="32"/>
    </row>
    <row r="51" spans="1:7" ht="30">
      <c r="A51" s="7"/>
      <c r="B51" s="168">
        <v>5</v>
      </c>
      <c r="C51" s="32" t="s">
        <v>990</v>
      </c>
      <c r="D51" s="129" t="s">
        <v>276</v>
      </c>
      <c r="E51" s="137" t="s">
        <v>1009</v>
      </c>
      <c r="F51" s="129"/>
      <c r="G51" s="32"/>
    </row>
    <row r="52" spans="1:7" ht="75">
      <c r="A52" s="7"/>
      <c r="B52" s="170"/>
      <c r="C52" s="32" t="s">
        <v>991</v>
      </c>
      <c r="D52" s="129" t="s">
        <v>279</v>
      </c>
      <c r="E52" s="137" t="s">
        <v>992</v>
      </c>
      <c r="F52" s="129"/>
      <c r="G52" s="32"/>
    </row>
    <row r="53" spans="1:7" ht="45">
      <c r="A53" s="7"/>
      <c r="B53" s="169"/>
      <c r="C53" s="32" t="s">
        <v>563</v>
      </c>
      <c r="D53" s="129" t="s">
        <v>276</v>
      </c>
      <c r="E53" s="137" t="s">
        <v>1010</v>
      </c>
      <c r="F53" s="129"/>
      <c r="G53" s="32"/>
    </row>
    <row r="54" spans="1:7">
      <c r="A54" s="7"/>
      <c r="B54" s="168">
        <v>6</v>
      </c>
      <c r="C54" s="32" t="s">
        <v>774</v>
      </c>
      <c r="D54" s="129" t="s">
        <v>279</v>
      </c>
      <c r="E54" s="137"/>
      <c r="F54" s="129"/>
      <c r="G54" s="32"/>
    </row>
    <row r="55" spans="1:7">
      <c r="A55" s="7"/>
      <c r="B55" s="170"/>
      <c r="C55" s="32" t="s">
        <v>775</v>
      </c>
      <c r="D55" s="129" t="s">
        <v>276</v>
      </c>
      <c r="E55" s="137"/>
      <c r="F55" s="129"/>
      <c r="G55" s="32"/>
    </row>
    <row r="56" spans="1:7" ht="105">
      <c r="A56" s="7"/>
      <c r="B56" s="169"/>
      <c r="C56" s="32" t="s">
        <v>993</v>
      </c>
      <c r="D56" s="129" t="s">
        <v>276</v>
      </c>
      <c r="E56" s="137" t="s">
        <v>994</v>
      </c>
      <c r="F56" s="129"/>
      <c r="G56" s="32"/>
    </row>
    <row r="57" spans="1:7" ht="105">
      <c r="A57" s="7"/>
      <c r="B57" s="168">
        <v>7</v>
      </c>
      <c r="C57" s="32" t="s">
        <v>995</v>
      </c>
      <c r="D57" s="129" t="s">
        <v>279</v>
      </c>
      <c r="E57" s="137" t="s">
        <v>996</v>
      </c>
      <c r="F57" s="129"/>
      <c r="G57" s="32"/>
    </row>
    <row r="58" spans="1:7" ht="75">
      <c r="A58" s="7"/>
      <c r="B58" s="170"/>
      <c r="C58" s="32" t="s">
        <v>997</v>
      </c>
      <c r="D58" s="129" t="s">
        <v>276</v>
      </c>
      <c r="E58" s="137" t="s">
        <v>998</v>
      </c>
      <c r="F58" s="129"/>
      <c r="G58" s="32"/>
    </row>
    <row r="59" spans="1:7" ht="60">
      <c r="A59" s="7"/>
      <c r="B59" s="169"/>
      <c r="C59" s="32" t="s">
        <v>1003</v>
      </c>
      <c r="D59" s="129" t="s">
        <v>276</v>
      </c>
      <c r="E59" s="137" t="s">
        <v>1004</v>
      </c>
      <c r="F59" s="129"/>
      <c r="G59" s="32"/>
    </row>
    <row r="60" spans="1:7" ht="45">
      <c r="A60" s="13"/>
      <c r="B60" s="97" t="s">
        <v>1235</v>
      </c>
      <c r="C60" s="153" t="s">
        <v>999</v>
      </c>
      <c r="D60" s="154" t="s">
        <v>497</v>
      </c>
      <c r="E60" s="155" t="s">
        <v>1000</v>
      </c>
      <c r="F60" s="154" t="s">
        <v>1239</v>
      </c>
      <c r="G60" s="153"/>
    </row>
    <row r="61" spans="1:7" ht="30">
      <c r="A61" s="7"/>
      <c r="B61" s="3">
        <v>17</v>
      </c>
      <c r="C61" s="32" t="s">
        <v>783</v>
      </c>
      <c r="D61" s="129" t="s">
        <v>279</v>
      </c>
      <c r="E61" s="137" t="s">
        <v>1001</v>
      </c>
      <c r="F61" s="129"/>
      <c r="G61" s="32"/>
    </row>
    <row r="62" spans="1:7" ht="30">
      <c r="A62" s="7"/>
      <c r="B62" s="168">
        <v>18</v>
      </c>
      <c r="C62" s="32" t="s">
        <v>784</v>
      </c>
      <c r="D62" s="129" t="s">
        <v>279</v>
      </c>
      <c r="E62" s="137" t="s">
        <v>1002</v>
      </c>
      <c r="F62" s="129"/>
      <c r="G62" s="32"/>
    </row>
    <row r="63" spans="1:7">
      <c r="A63" s="7"/>
      <c r="B63" s="170"/>
      <c r="C63" s="32" t="s">
        <v>1005</v>
      </c>
      <c r="D63" s="129" t="s">
        <v>276</v>
      </c>
      <c r="E63" s="137" t="s">
        <v>1006</v>
      </c>
      <c r="F63" s="129"/>
      <c r="G63" s="32"/>
    </row>
    <row r="64" spans="1:7">
      <c r="A64" s="7"/>
      <c r="B64" s="169"/>
      <c r="C64" s="32" t="s">
        <v>1007</v>
      </c>
      <c r="D64" s="129" t="s">
        <v>276</v>
      </c>
      <c r="E64" s="137" t="s">
        <v>1008</v>
      </c>
      <c r="F64" s="129"/>
      <c r="G64" s="32"/>
    </row>
    <row r="65" spans="1:7" ht="90">
      <c r="A65" s="7"/>
      <c r="B65" s="168">
        <v>19</v>
      </c>
      <c r="C65" s="32" t="s">
        <v>1011</v>
      </c>
      <c r="D65" s="129" t="s">
        <v>276</v>
      </c>
      <c r="E65" s="137" t="s">
        <v>1012</v>
      </c>
      <c r="F65" s="129" t="s">
        <v>1016</v>
      </c>
      <c r="G65" s="32"/>
    </row>
    <row r="66" spans="1:7">
      <c r="A66" s="7"/>
      <c r="B66" s="170"/>
      <c r="C66" s="32" t="s">
        <v>1013</v>
      </c>
      <c r="D66" s="129" t="s">
        <v>276</v>
      </c>
      <c r="E66" s="137"/>
      <c r="F66" s="129"/>
      <c r="G66" s="32"/>
    </row>
    <row r="67" spans="1:7">
      <c r="A67" s="7"/>
      <c r="B67" s="170"/>
      <c r="C67" s="32" t="s">
        <v>1014</v>
      </c>
      <c r="D67" s="129" t="s">
        <v>276</v>
      </c>
      <c r="E67" s="137" t="s">
        <v>1015</v>
      </c>
      <c r="F67" s="129"/>
      <c r="G67" s="32"/>
    </row>
    <row r="68" spans="1:7">
      <c r="A68" s="7"/>
      <c r="B68" s="169"/>
      <c r="C68" s="32"/>
      <c r="D68" s="129"/>
      <c r="E68" s="137"/>
      <c r="F68" s="129"/>
      <c r="G68" s="32"/>
    </row>
    <row r="69" spans="1:7" s="86" customFormat="1">
      <c r="A69" s="139"/>
      <c r="B69" s="139"/>
      <c r="C69" s="140"/>
      <c r="D69" s="141"/>
      <c r="E69" s="142"/>
      <c r="F69" s="141"/>
      <c r="G69" s="140"/>
    </row>
    <row r="70" spans="1:7" s="69" customFormat="1">
      <c r="A70" s="143" t="s">
        <v>1017</v>
      </c>
      <c r="B70" s="188" t="s">
        <v>1018</v>
      </c>
      <c r="C70" s="189"/>
      <c r="D70" s="189"/>
      <c r="E70" s="189"/>
      <c r="F70" s="189"/>
      <c r="G70" s="190"/>
    </row>
    <row r="71" spans="1:7" s="69" customFormat="1">
      <c r="A71" s="143"/>
      <c r="B71" s="185">
        <v>0</v>
      </c>
      <c r="C71" s="144" t="s">
        <v>1019</v>
      </c>
      <c r="D71" s="145" t="s">
        <v>279</v>
      </c>
      <c r="E71" s="146" t="s">
        <v>1020</v>
      </c>
      <c r="F71" s="145"/>
      <c r="G71" s="144"/>
    </row>
    <row r="72" spans="1:7" s="69" customFormat="1" ht="30">
      <c r="A72" s="143"/>
      <c r="B72" s="187"/>
      <c r="C72" s="144" t="s">
        <v>1021</v>
      </c>
      <c r="D72" s="145" t="s">
        <v>276</v>
      </c>
      <c r="E72" s="146" t="s">
        <v>1023</v>
      </c>
      <c r="F72" s="145"/>
      <c r="G72" s="144"/>
    </row>
    <row r="73" spans="1:7" s="69" customFormat="1">
      <c r="A73" s="143"/>
      <c r="B73" s="186"/>
      <c r="C73" s="144" t="s">
        <v>1022</v>
      </c>
      <c r="D73" s="145" t="s">
        <v>276</v>
      </c>
      <c r="E73" s="146" t="s">
        <v>1024</v>
      </c>
      <c r="F73" s="145"/>
      <c r="G73" s="144"/>
    </row>
    <row r="74" spans="1:7" s="69" customFormat="1" ht="75">
      <c r="A74" s="143"/>
      <c r="B74" s="185">
        <v>1</v>
      </c>
      <c r="C74" s="144" t="s">
        <v>1025</v>
      </c>
      <c r="D74" s="145" t="s">
        <v>276</v>
      </c>
      <c r="E74" s="146" t="s">
        <v>1026</v>
      </c>
      <c r="F74" s="145"/>
      <c r="G74" s="144"/>
    </row>
    <row r="75" spans="1:7" s="69" customFormat="1" ht="45">
      <c r="A75" s="143"/>
      <c r="B75" s="187"/>
      <c r="C75" s="144" t="s">
        <v>1027</v>
      </c>
      <c r="D75" s="145" t="s">
        <v>279</v>
      </c>
      <c r="E75" s="146" t="s">
        <v>1227</v>
      </c>
      <c r="F75" s="145"/>
      <c r="G75" s="144"/>
    </row>
    <row r="76" spans="1:7" s="69" customFormat="1">
      <c r="A76" s="143"/>
      <c r="B76" s="186"/>
      <c r="C76" s="144"/>
      <c r="D76" s="145"/>
      <c r="E76" s="146"/>
      <c r="F76" s="145"/>
      <c r="G76" s="144"/>
    </row>
    <row r="77" spans="1:7" s="69" customFormat="1">
      <c r="A77" s="143"/>
      <c r="B77" s="87">
        <v>2</v>
      </c>
      <c r="C77" s="144" t="s">
        <v>1029</v>
      </c>
      <c r="D77" s="145" t="s">
        <v>272</v>
      </c>
      <c r="E77" s="146" t="s">
        <v>1028</v>
      </c>
      <c r="F77" s="145"/>
      <c r="G77" s="144"/>
    </row>
    <row r="78" spans="1:7" s="151" customFormat="1">
      <c r="A78" s="147"/>
      <c r="B78" s="147"/>
      <c r="C78" s="148"/>
      <c r="D78" s="149"/>
      <c r="E78" s="150"/>
      <c r="F78" s="149"/>
      <c r="G78" s="148"/>
    </row>
    <row r="79" spans="1:7" s="69" customFormat="1" ht="20.25" customHeight="1">
      <c r="A79" s="87" t="s">
        <v>1038</v>
      </c>
      <c r="B79" s="191" t="s">
        <v>1039</v>
      </c>
      <c r="C79" s="192"/>
      <c r="D79" s="192"/>
      <c r="E79" s="192"/>
      <c r="F79" s="192"/>
      <c r="G79" s="193"/>
    </row>
    <row r="80" spans="1:7" s="69" customFormat="1">
      <c r="A80" s="143" t="s">
        <v>1041</v>
      </c>
      <c r="B80" s="194" t="s">
        <v>1042</v>
      </c>
      <c r="C80" s="195"/>
      <c r="D80" s="195"/>
      <c r="E80" s="195"/>
      <c r="F80" s="195"/>
      <c r="G80" s="196"/>
    </row>
    <row r="81" spans="1:7" s="69" customFormat="1">
      <c r="A81" s="143"/>
      <c r="B81" s="185">
        <v>0</v>
      </c>
      <c r="C81" s="144" t="s">
        <v>1043</v>
      </c>
      <c r="D81" s="145" t="s">
        <v>279</v>
      </c>
      <c r="E81" s="146" t="s">
        <v>178</v>
      </c>
      <c r="F81" s="145"/>
      <c r="G81" s="144"/>
    </row>
    <row r="82" spans="1:7" s="69" customFormat="1">
      <c r="A82" s="143"/>
      <c r="B82" s="186"/>
      <c r="C82" s="144" t="s">
        <v>9</v>
      </c>
      <c r="D82" s="145" t="s">
        <v>279</v>
      </c>
      <c r="E82" s="146"/>
      <c r="F82" s="145"/>
      <c r="G82" s="144"/>
    </row>
    <row r="83" spans="1:7" s="69" customFormat="1" ht="45">
      <c r="A83" s="143"/>
      <c r="B83" s="185">
        <v>1</v>
      </c>
      <c r="C83" s="144" t="s">
        <v>851</v>
      </c>
      <c r="D83" s="145" t="s">
        <v>276</v>
      </c>
      <c r="E83" s="146" t="s">
        <v>1044</v>
      </c>
      <c r="F83" s="145"/>
      <c r="G83" s="144"/>
    </row>
    <row r="84" spans="1:7" s="69" customFormat="1">
      <c r="A84" s="143"/>
      <c r="B84" s="187"/>
      <c r="C84" s="144" t="s">
        <v>756</v>
      </c>
      <c r="D84" s="145" t="s">
        <v>279</v>
      </c>
      <c r="E84" s="146"/>
      <c r="F84" s="145"/>
      <c r="G84" s="144"/>
    </row>
    <row r="85" spans="1:7" s="69" customFormat="1">
      <c r="A85" s="143"/>
      <c r="B85" s="186"/>
      <c r="C85" s="144" t="s">
        <v>1045</v>
      </c>
      <c r="D85" s="145" t="s">
        <v>276</v>
      </c>
      <c r="E85" s="146"/>
      <c r="F85" s="145"/>
      <c r="G85" s="144"/>
    </row>
    <row r="86" spans="1:7" s="69" customFormat="1">
      <c r="A86" s="143"/>
      <c r="B86" s="185">
        <v>2</v>
      </c>
      <c r="C86" s="144" t="s">
        <v>1046</v>
      </c>
      <c r="D86" s="145" t="s">
        <v>276</v>
      </c>
      <c r="E86" s="146"/>
      <c r="F86" s="145"/>
      <c r="G86" s="144"/>
    </row>
    <row r="87" spans="1:7" s="69" customFormat="1">
      <c r="A87" s="143"/>
      <c r="B87" s="187"/>
      <c r="C87" s="144" t="s">
        <v>1047</v>
      </c>
      <c r="D87" s="145" t="s">
        <v>276</v>
      </c>
      <c r="E87" s="146"/>
      <c r="F87" s="145"/>
      <c r="G87" s="144"/>
    </row>
    <row r="88" spans="1:7" s="69" customFormat="1" ht="45">
      <c r="A88" s="143"/>
      <c r="B88" s="187"/>
      <c r="C88" s="144" t="s">
        <v>1048</v>
      </c>
      <c r="D88" s="145" t="s">
        <v>276</v>
      </c>
      <c r="E88" s="146" t="s">
        <v>1049</v>
      </c>
      <c r="F88" s="145"/>
      <c r="G88" s="144"/>
    </row>
    <row r="89" spans="1:7" s="69" customFormat="1">
      <c r="A89" s="143"/>
      <c r="B89" s="186"/>
      <c r="C89" s="144" t="s">
        <v>1053</v>
      </c>
      <c r="D89" s="145" t="s">
        <v>276</v>
      </c>
      <c r="E89" s="146" t="s">
        <v>1054</v>
      </c>
      <c r="F89" s="145"/>
      <c r="G89" s="144"/>
    </row>
    <row r="90" spans="1:7" s="69" customFormat="1" ht="30">
      <c r="A90" s="143"/>
      <c r="B90" s="185">
        <v>3</v>
      </c>
      <c r="C90" s="144" t="s">
        <v>1050</v>
      </c>
      <c r="D90" s="145" t="s">
        <v>279</v>
      </c>
      <c r="E90" s="146" t="s">
        <v>1051</v>
      </c>
      <c r="F90" s="145" t="s">
        <v>1052</v>
      </c>
      <c r="G90" s="144"/>
    </row>
    <row r="91" spans="1:7" s="69" customFormat="1" ht="30">
      <c r="A91" s="143"/>
      <c r="B91" s="186"/>
      <c r="C91" s="144" t="s">
        <v>488</v>
      </c>
      <c r="D91" s="145" t="s">
        <v>279</v>
      </c>
      <c r="E91" s="146" t="s">
        <v>1055</v>
      </c>
      <c r="F91" s="145"/>
      <c r="G91" s="144"/>
    </row>
    <row r="92" spans="1:7" s="69" customFormat="1" ht="45">
      <c r="A92" s="143"/>
      <c r="B92" s="185">
        <v>4</v>
      </c>
      <c r="C92" s="144" t="s">
        <v>563</v>
      </c>
      <c r="D92" s="145" t="s">
        <v>276</v>
      </c>
      <c r="E92" s="146" t="s">
        <v>1056</v>
      </c>
      <c r="F92" s="145"/>
      <c r="G92" s="144"/>
    </row>
    <row r="93" spans="1:7" s="69" customFormat="1">
      <c r="A93" s="143"/>
      <c r="B93" s="187"/>
      <c r="C93" s="144" t="s">
        <v>775</v>
      </c>
      <c r="D93" s="145" t="s">
        <v>276</v>
      </c>
      <c r="E93" s="146" t="s">
        <v>695</v>
      </c>
      <c r="F93" s="145"/>
      <c r="G93" s="144"/>
    </row>
    <row r="94" spans="1:7" s="69" customFormat="1" ht="30">
      <c r="A94" s="143"/>
      <c r="B94" s="186"/>
      <c r="C94" s="144" t="s">
        <v>491</v>
      </c>
      <c r="D94" s="145" t="s">
        <v>279</v>
      </c>
      <c r="E94" s="146" t="s">
        <v>1057</v>
      </c>
      <c r="F94" s="145"/>
      <c r="G94" s="144"/>
    </row>
    <row r="95" spans="1:7" s="69" customFormat="1" ht="30">
      <c r="A95" s="143"/>
      <c r="B95" s="185">
        <v>5</v>
      </c>
      <c r="C95" s="144" t="s">
        <v>1058</v>
      </c>
      <c r="D95" s="145" t="s">
        <v>279</v>
      </c>
      <c r="E95" s="146" t="s">
        <v>1059</v>
      </c>
      <c r="F95" s="145"/>
      <c r="G95" s="144"/>
    </row>
    <row r="96" spans="1:7" s="69" customFormat="1">
      <c r="A96" s="143"/>
      <c r="B96" s="186"/>
      <c r="C96" s="144" t="s">
        <v>995</v>
      </c>
      <c r="D96" s="145" t="s">
        <v>279</v>
      </c>
      <c r="E96" s="146" t="s">
        <v>1062</v>
      </c>
      <c r="F96" s="145"/>
      <c r="G96" s="144"/>
    </row>
    <row r="97" spans="1:7" s="69" customFormat="1">
      <c r="A97" s="143"/>
      <c r="B97" s="185">
        <v>6</v>
      </c>
      <c r="C97" s="144" t="s">
        <v>983</v>
      </c>
      <c r="D97" s="145" t="s">
        <v>276</v>
      </c>
      <c r="E97" s="146" t="s">
        <v>1073</v>
      </c>
      <c r="F97" s="145"/>
      <c r="G97" s="144"/>
    </row>
    <row r="98" spans="1:7" s="69" customFormat="1">
      <c r="A98" s="143"/>
      <c r="B98" s="187"/>
      <c r="C98" s="144" t="s">
        <v>1071</v>
      </c>
      <c r="D98" s="145" t="s">
        <v>276</v>
      </c>
      <c r="E98" s="146" t="s">
        <v>1074</v>
      </c>
      <c r="F98" s="145" t="s">
        <v>1079</v>
      </c>
      <c r="G98" s="144"/>
    </row>
    <row r="99" spans="1:7" s="69" customFormat="1">
      <c r="A99" s="143"/>
      <c r="B99" s="187"/>
      <c r="C99" s="144" t="s">
        <v>1072</v>
      </c>
      <c r="D99" s="145" t="s">
        <v>276</v>
      </c>
      <c r="E99" s="146" t="s">
        <v>1075</v>
      </c>
      <c r="F99" s="145" t="s">
        <v>1079</v>
      </c>
      <c r="G99" s="144"/>
    </row>
    <row r="100" spans="1:7" s="69" customFormat="1" ht="45">
      <c r="A100" s="143"/>
      <c r="B100" s="186"/>
      <c r="C100" s="144" t="s">
        <v>997</v>
      </c>
      <c r="D100" s="145" t="s">
        <v>276</v>
      </c>
      <c r="E100" s="146" t="s">
        <v>1063</v>
      </c>
      <c r="F100" s="145"/>
      <c r="G100" s="144"/>
    </row>
    <row r="101" spans="1:7" s="69" customFormat="1">
      <c r="A101" s="143"/>
      <c r="B101" s="165" t="s">
        <v>1236</v>
      </c>
      <c r="C101" s="144" t="s">
        <v>999</v>
      </c>
      <c r="D101" s="145" t="s">
        <v>497</v>
      </c>
      <c r="E101" s="200" t="s">
        <v>1062</v>
      </c>
      <c r="F101" s="145"/>
      <c r="G101" s="144"/>
    </row>
    <row r="102" spans="1:7" s="69" customFormat="1">
      <c r="A102" s="143"/>
      <c r="B102" s="185">
        <v>16</v>
      </c>
      <c r="C102" s="144" t="s">
        <v>1064</v>
      </c>
      <c r="D102" s="145" t="s">
        <v>279</v>
      </c>
      <c r="E102" s="201"/>
      <c r="F102" s="145"/>
      <c r="G102" s="144"/>
    </row>
    <row r="103" spans="1:7" s="69" customFormat="1">
      <c r="A103" s="143"/>
      <c r="B103" s="186"/>
      <c r="C103" s="144" t="s">
        <v>1065</v>
      </c>
      <c r="D103" s="145" t="s">
        <v>279</v>
      </c>
      <c r="E103" s="201"/>
      <c r="F103" s="145"/>
      <c r="G103" s="144"/>
    </row>
    <row r="104" spans="1:7" s="69" customFormat="1">
      <c r="A104" s="143"/>
      <c r="B104" s="185">
        <v>17</v>
      </c>
      <c r="C104" s="144" t="s">
        <v>1066</v>
      </c>
      <c r="D104" s="145" t="s">
        <v>276</v>
      </c>
      <c r="E104" s="202"/>
      <c r="F104" s="145"/>
      <c r="G104" s="144"/>
    </row>
    <row r="105" spans="1:7" s="69" customFormat="1">
      <c r="A105" s="143"/>
      <c r="B105" s="187"/>
      <c r="C105" s="144" t="s">
        <v>1005</v>
      </c>
      <c r="D105" s="145" t="s">
        <v>276</v>
      </c>
      <c r="E105" s="146" t="s">
        <v>1067</v>
      </c>
      <c r="F105" s="145"/>
      <c r="G105" s="144"/>
    </row>
    <row r="106" spans="1:7" s="69" customFormat="1">
      <c r="A106" s="143"/>
      <c r="B106" s="187"/>
      <c r="C106" s="144" t="s">
        <v>1068</v>
      </c>
      <c r="D106" s="145" t="s">
        <v>276</v>
      </c>
      <c r="E106" s="146" t="s">
        <v>1069</v>
      </c>
      <c r="F106" s="145"/>
      <c r="G106" s="144"/>
    </row>
    <row r="107" spans="1:7" s="69" customFormat="1">
      <c r="A107" s="143"/>
      <c r="B107" s="186"/>
      <c r="C107" s="144" t="s">
        <v>1060</v>
      </c>
      <c r="D107" s="145" t="s">
        <v>276</v>
      </c>
      <c r="E107" s="146" t="s">
        <v>1061</v>
      </c>
      <c r="F107" s="145"/>
      <c r="G107" s="144"/>
    </row>
    <row r="108" spans="1:7" s="69" customFormat="1">
      <c r="A108" s="143"/>
      <c r="B108" s="185">
        <v>18</v>
      </c>
      <c r="C108" s="144" t="s">
        <v>984</v>
      </c>
      <c r="D108" s="145" t="s">
        <v>272</v>
      </c>
      <c r="E108" s="146" t="s">
        <v>1076</v>
      </c>
      <c r="F108" s="145"/>
      <c r="G108" s="144"/>
    </row>
    <row r="109" spans="1:7" s="69" customFormat="1">
      <c r="A109" s="143"/>
      <c r="B109" s="186"/>
      <c r="C109" s="144" t="s">
        <v>1077</v>
      </c>
      <c r="D109" s="145" t="s">
        <v>272</v>
      </c>
      <c r="E109" s="146" t="s">
        <v>1078</v>
      </c>
      <c r="F109" s="145"/>
      <c r="G109" s="144"/>
    </row>
    <row r="110" spans="1:7" s="69" customFormat="1">
      <c r="A110" s="143"/>
      <c r="B110" s="87"/>
      <c r="C110" s="144"/>
      <c r="D110" s="145"/>
      <c r="E110" s="146"/>
      <c r="F110" s="145"/>
      <c r="G110" s="144"/>
    </row>
    <row r="111" spans="1:7" s="151" customFormat="1">
      <c r="A111" s="147"/>
      <c r="B111" s="147"/>
      <c r="C111" s="148"/>
      <c r="D111" s="149"/>
      <c r="E111" s="150"/>
      <c r="F111" s="149"/>
      <c r="G111" s="148"/>
    </row>
    <row r="112" spans="1:7" s="69" customFormat="1">
      <c r="A112" s="143" t="s">
        <v>1070</v>
      </c>
      <c r="B112" s="188" t="s">
        <v>1088</v>
      </c>
      <c r="C112" s="189"/>
      <c r="D112" s="189"/>
      <c r="E112" s="189"/>
      <c r="F112" s="189"/>
      <c r="G112" s="190"/>
    </row>
    <row r="113" spans="1:7" s="69" customFormat="1">
      <c r="A113" s="143"/>
      <c r="B113" s="185">
        <v>0</v>
      </c>
      <c r="C113" s="144" t="s">
        <v>1080</v>
      </c>
      <c r="D113" s="145" t="s">
        <v>279</v>
      </c>
      <c r="E113" s="146" t="s">
        <v>690</v>
      </c>
      <c r="F113" s="145" t="s">
        <v>1081</v>
      </c>
      <c r="G113" s="144"/>
    </row>
    <row r="114" spans="1:7" s="69" customFormat="1" ht="30">
      <c r="A114" s="143"/>
      <c r="B114" s="187"/>
      <c r="C114" s="144" t="s">
        <v>1082</v>
      </c>
      <c r="D114" s="145" t="s">
        <v>276</v>
      </c>
      <c r="E114" s="146" t="s">
        <v>1083</v>
      </c>
      <c r="F114" s="145"/>
      <c r="G114" s="144"/>
    </row>
    <row r="115" spans="1:7" s="69" customFormat="1" ht="30">
      <c r="A115" s="143"/>
      <c r="B115" s="186"/>
      <c r="C115" s="144" t="s">
        <v>1084</v>
      </c>
      <c r="D115" s="145" t="s">
        <v>276</v>
      </c>
      <c r="E115" s="146" t="s">
        <v>1085</v>
      </c>
      <c r="F115" s="145" t="s">
        <v>1086</v>
      </c>
      <c r="G115" s="144"/>
    </row>
    <row r="116" spans="1:7" s="69" customFormat="1">
      <c r="A116" s="143"/>
      <c r="B116" s="185">
        <v>1</v>
      </c>
      <c r="C116" s="144" t="s">
        <v>1087</v>
      </c>
      <c r="D116" s="145" t="s">
        <v>276</v>
      </c>
      <c r="E116" s="146"/>
      <c r="F116" s="145"/>
      <c r="G116" s="144"/>
    </row>
    <row r="117" spans="1:7" s="69" customFormat="1" ht="30">
      <c r="A117" s="143"/>
      <c r="B117" s="187"/>
      <c r="C117" s="144" t="s">
        <v>1089</v>
      </c>
      <c r="D117" s="145" t="s">
        <v>276</v>
      </c>
      <c r="E117" s="146" t="s">
        <v>1090</v>
      </c>
      <c r="F117" s="145"/>
      <c r="G117" s="144"/>
    </row>
    <row r="118" spans="1:7" s="69" customFormat="1">
      <c r="A118" s="143"/>
      <c r="B118" s="186"/>
      <c r="C118" s="144" t="s">
        <v>1091</v>
      </c>
      <c r="D118" s="145" t="s">
        <v>279</v>
      </c>
      <c r="E118" s="146" t="s">
        <v>1092</v>
      </c>
      <c r="F118" s="145" t="s">
        <v>1093</v>
      </c>
      <c r="G118" s="144"/>
    </row>
    <row r="119" spans="1:7" s="151" customFormat="1">
      <c r="A119" s="147"/>
      <c r="B119" s="147"/>
      <c r="C119" s="148"/>
      <c r="D119" s="149"/>
      <c r="E119" s="150"/>
      <c r="F119" s="149"/>
      <c r="G119" s="148"/>
    </row>
    <row r="120" spans="1:7" s="69" customFormat="1">
      <c r="A120" s="143" t="s">
        <v>1094</v>
      </c>
      <c r="B120" s="188" t="s">
        <v>1095</v>
      </c>
      <c r="C120" s="189"/>
      <c r="D120" s="189"/>
      <c r="E120" s="189"/>
      <c r="F120" s="189"/>
      <c r="G120" s="190"/>
    </row>
    <row r="121" spans="1:7" s="69" customFormat="1">
      <c r="A121" s="143"/>
      <c r="B121" s="185">
        <v>0</v>
      </c>
      <c r="C121" s="144" t="s">
        <v>9</v>
      </c>
      <c r="D121" s="145" t="s">
        <v>279</v>
      </c>
      <c r="E121" s="146" t="s">
        <v>1096</v>
      </c>
      <c r="F121" s="145"/>
      <c r="G121" s="144"/>
    </row>
    <row r="122" spans="1:7" s="69" customFormat="1">
      <c r="A122" s="143"/>
      <c r="B122" s="187"/>
      <c r="C122" s="144" t="s">
        <v>871</v>
      </c>
      <c r="D122" s="145" t="s">
        <v>276</v>
      </c>
      <c r="E122" s="146" t="s">
        <v>1097</v>
      </c>
      <c r="F122" s="145"/>
      <c r="G122" s="144"/>
    </row>
    <row r="123" spans="1:7" s="69" customFormat="1">
      <c r="A123" s="143"/>
      <c r="B123" s="186"/>
      <c r="C123" s="144" t="s">
        <v>518</v>
      </c>
      <c r="D123" s="145" t="s">
        <v>276</v>
      </c>
      <c r="E123" s="146" t="s">
        <v>1098</v>
      </c>
      <c r="F123" s="145"/>
      <c r="G123" s="144"/>
    </row>
    <row r="124" spans="1:7" s="69" customFormat="1">
      <c r="A124" s="143"/>
      <c r="B124" s="185">
        <v>1</v>
      </c>
      <c r="C124" s="144" t="s">
        <v>1099</v>
      </c>
      <c r="D124" s="145" t="s">
        <v>279</v>
      </c>
      <c r="E124" s="146" t="s">
        <v>1100</v>
      </c>
      <c r="F124" s="145"/>
      <c r="G124" s="144"/>
    </row>
    <row r="125" spans="1:7" s="69" customFormat="1">
      <c r="A125" s="143"/>
      <c r="B125" s="186"/>
      <c r="C125" s="144" t="s">
        <v>522</v>
      </c>
      <c r="D125" s="145" t="s">
        <v>279</v>
      </c>
      <c r="E125" s="146" t="s">
        <v>1101</v>
      </c>
      <c r="F125" s="145"/>
      <c r="G125" s="144"/>
    </row>
    <row r="126" spans="1:7" s="69" customFormat="1">
      <c r="A126" s="143"/>
      <c r="B126" s="185">
        <v>2</v>
      </c>
      <c r="C126" s="144" t="s">
        <v>1102</v>
      </c>
      <c r="D126" s="145" t="s">
        <v>276</v>
      </c>
      <c r="E126" s="146" t="s">
        <v>1103</v>
      </c>
      <c r="F126" s="145"/>
      <c r="G126" s="144"/>
    </row>
    <row r="127" spans="1:7" s="69" customFormat="1">
      <c r="A127" s="143"/>
      <c r="B127" s="187"/>
      <c r="C127" s="144" t="s">
        <v>789</v>
      </c>
      <c r="D127" s="145" t="s">
        <v>276</v>
      </c>
      <c r="E127" s="146"/>
      <c r="F127" s="145"/>
      <c r="G127" s="144"/>
    </row>
    <row r="128" spans="1:7" s="69" customFormat="1" ht="45">
      <c r="A128" s="143"/>
      <c r="B128" s="187"/>
      <c r="C128" s="144" t="s">
        <v>1104</v>
      </c>
      <c r="D128" s="145" t="s">
        <v>276</v>
      </c>
      <c r="E128" s="146" t="s">
        <v>875</v>
      </c>
      <c r="F128" s="145"/>
      <c r="G128" s="144"/>
    </row>
    <row r="129" spans="1:7" s="69" customFormat="1" ht="30">
      <c r="A129" s="143"/>
      <c r="B129" s="186"/>
      <c r="C129" s="144" t="s">
        <v>1111</v>
      </c>
      <c r="D129" s="145" t="s">
        <v>276</v>
      </c>
      <c r="E129" s="146" t="s">
        <v>1112</v>
      </c>
      <c r="F129" s="145"/>
      <c r="G129" s="144"/>
    </row>
    <row r="130" spans="1:7" s="69" customFormat="1" ht="45">
      <c r="A130" s="143"/>
      <c r="B130" s="185">
        <v>3</v>
      </c>
      <c r="C130" s="144" t="s">
        <v>1105</v>
      </c>
      <c r="D130" s="145" t="s">
        <v>279</v>
      </c>
      <c r="E130" s="146" t="s">
        <v>1106</v>
      </c>
      <c r="F130" s="145"/>
      <c r="G130" s="144"/>
    </row>
    <row r="131" spans="1:7" s="69" customFormat="1">
      <c r="A131" s="143"/>
      <c r="B131" s="186"/>
      <c r="C131" s="144" t="s">
        <v>1107</v>
      </c>
      <c r="D131" s="145" t="s">
        <v>279</v>
      </c>
      <c r="E131" s="146" t="s">
        <v>1108</v>
      </c>
      <c r="F131" s="145"/>
      <c r="G131" s="144"/>
    </row>
    <row r="132" spans="1:7" s="69" customFormat="1">
      <c r="A132" s="143"/>
      <c r="B132" s="185">
        <v>4</v>
      </c>
      <c r="C132" s="144" t="s">
        <v>1109</v>
      </c>
      <c r="D132" s="145" t="s">
        <v>279</v>
      </c>
      <c r="E132" s="146" t="s">
        <v>1110</v>
      </c>
      <c r="F132" s="145"/>
      <c r="G132" s="144"/>
    </row>
    <row r="133" spans="1:7" s="69" customFormat="1">
      <c r="A133" s="143"/>
      <c r="B133" s="186"/>
      <c r="C133" s="144" t="s">
        <v>1113</v>
      </c>
      <c r="D133" s="145" t="s">
        <v>279</v>
      </c>
      <c r="E133" s="146" t="s">
        <v>1114</v>
      </c>
      <c r="F133" s="145"/>
      <c r="G133" s="144"/>
    </row>
    <row r="134" spans="1:7" s="69" customFormat="1" ht="105">
      <c r="A134" s="143"/>
      <c r="B134" s="185">
        <v>5</v>
      </c>
      <c r="C134" s="144" t="s">
        <v>1219</v>
      </c>
      <c r="D134" s="145" t="s">
        <v>276</v>
      </c>
      <c r="E134" s="146" t="s">
        <v>1115</v>
      </c>
      <c r="F134" s="145"/>
      <c r="G134" s="144"/>
    </row>
    <row r="135" spans="1:7" s="69" customFormat="1" ht="45">
      <c r="A135" s="143"/>
      <c r="B135" s="187"/>
      <c r="C135" s="144" t="s">
        <v>1116</v>
      </c>
      <c r="D135" s="145" t="s">
        <v>276</v>
      </c>
      <c r="E135" s="146" t="s">
        <v>1117</v>
      </c>
      <c r="F135" s="145"/>
      <c r="G135" s="144"/>
    </row>
    <row r="136" spans="1:7">
      <c r="A136" s="7"/>
      <c r="B136" s="186"/>
      <c r="C136" s="153" t="s">
        <v>1119</v>
      </c>
      <c r="D136" s="154" t="s">
        <v>279</v>
      </c>
      <c r="E136" s="155" t="s">
        <v>1120</v>
      </c>
      <c r="F136" s="129"/>
      <c r="G136" s="32"/>
    </row>
    <row r="137" spans="1:7" s="151" customFormat="1">
      <c r="A137" s="147"/>
      <c r="B137" s="147"/>
      <c r="C137" s="148"/>
      <c r="D137" s="149"/>
      <c r="E137" s="150"/>
      <c r="F137" s="149"/>
      <c r="G137" s="148"/>
    </row>
    <row r="138" spans="1:7" ht="22.5" customHeight="1">
      <c r="A138" s="31" t="s">
        <v>1130</v>
      </c>
      <c r="B138" s="191" t="s">
        <v>1131</v>
      </c>
      <c r="C138" s="192"/>
      <c r="D138" s="192"/>
      <c r="E138" s="192"/>
      <c r="F138" s="192"/>
      <c r="G138" s="193"/>
    </row>
    <row r="139" spans="1:7" ht="19.5" customHeight="1">
      <c r="A139" s="31" t="s">
        <v>1132</v>
      </c>
      <c r="B139" s="182" t="s">
        <v>1133</v>
      </c>
      <c r="C139" s="183"/>
      <c r="D139" s="183"/>
      <c r="E139" s="183"/>
      <c r="F139" s="183"/>
      <c r="G139" s="184"/>
    </row>
    <row r="140" spans="1:7" ht="90">
      <c r="A140" s="7"/>
      <c r="B140" s="168">
        <v>0</v>
      </c>
      <c r="C140" s="32" t="s">
        <v>1134</v>
      </c>
      <c r="D140" s="129" t="s">
        <v>276</v>
      </c>
      <c r="E140" s="137" t="s">
        <v>1135</v>
      </c>
      <c r="F140" s="129"/>
      <c r="G140" s="32"/>
    </row>
    <row r="141" spans="1:7" ht="30">
      <c r="A141" s="7"/>
      <c r="B141" s="170"/>
      <c r="C141" s="32" t="s">
        <v>871</v>
      </c>
      <c r="D141" s="129" t="s">
        <v>276</v>
      </c>
      <c r="E141" s="137" t="s">
        <v>1136</v>
      </c>
      <c r="F141" s="129" t="s">
        <v>1149</v>
      </c>
      <c r="G141" s="32"/>
    </row>
    <row r="142" spans="1:7" ht="45">
      <c r="A142" s="7"/>
      <c r="B142" s="169"/>
      <c r="C142" s="32" t="s">
        <v>1137</v>
      </c>
      <c r="D142" s="129" t="s">
        <v>279</v>
      </c>
      <c r="E142" s="137" t="s">
        <v>1150</v>
      </c>
      <c r="F142" s="129"/>
      <c r="G142" s="32"/>
    </row>
    <row r="143" spans="1:7">
      <c r="A143" s="7"/>
      <c r="B143" s="168">
        <v>1</v>
      </c>
      <c r="C143" s="32" t="s">
        <v>1138</v>
      </c>
      <c r="D143" s="129" t="s">
        <v>279</v>
      </c>
      <c r="E143" s="137" t="s">
        <v>357</v>
      </c>
      <c r="F143" s="129"/>
      <c r="G143" s="32"/>
    </row>
    <row r="144" spans="1:7">
      <c r="A144" s="7"/>
      <c r="B144" s="169"/>
      <c r="C144" s="32"/>
      <c r="D144" s="129"/>
      <c r="E144" s="137"/>
      <c r="F144" s="129"/>
      <c r="G144" s="32"/>
    </row>
    <row r="145" spans="1:7">
      <c r="A145" s="7"/>
      <c r="B145" s="3">
        <v>2</v>
      </c>
      <c r="C145" s="32" t="s">
        <v>1181</v>
      </c>
      <c r="D145" s="129" t="s">
        <v>741</v>
      </c>
      <c r="E145" s="137" t="s">
        <v>1182</v>
      </c>
      <c r="F145" s="129"/>
      <c r="G145" s="32"/>
    </row>
    <row r="146" spans="1:7" ht="30">
      <c r="A146" s="13"/>
      <c r="B146" s="166"/>
      <c r="C146" s="153" t="s">
        <v>1139</v>
      </c>
      <c r="D146" s="154" t="s">
        <v>741</v>
      </c>
      <c r="E146" s="155" t="s">
        <v>1140</v>
      </c>
      <c r="F146" s="154" t="s">
        <v>1238</v>
      </c>
      <c r="G146" s="153"/>
    </row>
    <row r="147" spans="1:7" ht="30">
      <c r="A147" s="13"/>
      <c r="B147" s="166"/>
      <c r="C147" s="153" t="s">
        <v>1141</v>
      </c>
      <c r="D147" s="154" t="s">
        <v>741</v>
      </c>
      <c r="E147" s="155" t="s">
        <v>1142</v>
      </c>
      <c r="F147" s="154" t="s">
        <v>1238</v>
      </c>
      <c r="G147" s="153"/>
    </row>
    <row r="148" spans="1:7" ht="30">
      <c r="A148" s="13"/>
      <c r="B148" s="166"/>
      <c r="C148" s="153" t="s">
        <v>1143</v>
      </c>
      <c r="D148" s="154" t="s">
        <v>741</v>
      </c>
      <c r="E148" s="155" t="s">
        <v>1144</v>
      </c>
      <c r="F148" s="154" t="s">
        <v>1238</v>
      </c>
      <c r="G148" s="153"/>
    </row>
    <row r="149" spans="1:7" s="106" customFormat="1" ht="24" customHeight="1">
      <c r="A149" s="16" t="s">
        <v>1145</v>
      </c>
      <c r="B149" s="182" t="s">
        <v>1146</v>
      </c>
      <c r="C149" s="183"/>
      <c r="D149" s="183"/>
      <c r="E149" s="183"/>
      <c r="F149" s="183"/>
      <c r="G149" s="184"/>
    </row>
    <row r="150" spans="1:7" ht="45">
      <c r="A150" s="7"/>
      <c r="B150" s="168">
        <v>0</v>
      </c>
      <c r="C150" s="32" t="s">
        <v>1134</v>
      </c>
      <c r="D150" s="129" t="s">
        <v>276</v>
      </c>
      <c r="E150" s="137" t="s">
        <v>1201</v>
      </c>
      <c r="F150" s="129"/>
      <c r="G150" s="32"/>
    </row>
    <row r="151" spans="1:7">
      <c r="A151" s="7"/>
      <c r="B151" s="170"/>
      <c r="C151" s="32" t="s">
        <v>851</v>
      </c>
      <c r="D151" s="129" t="s">
        <v>276</v>
      </c>
      <c r="E151" s="137"/>
      <c r="F151" s="129"/>
      <c r="G151" s="32"/>
    </row>
    <row r="152" spans="1:7" ht="45">
      <c r="A152" s="7"/>
      <c r="B152" s="169"/>
      <c r="C152" s="32" t="s">
        <v>1147</v>
      </c>
      <c r="D152" s="129" t="s">
        <v>279</v>
      </c>
      <c r="E152" s="137" t="s">
        <v>1150</v>
      </c>
      <c r="F152" s="129"/>
      <c r="G152" s="32"/>
    </row>
    <row r="153" spans="1:7">
      <c r="A153" s="7"/>
      <c r="B153" s="168">
        <v>1</v>
      </c>
      <c r="C153" s="32" t="s">
        <v>1138</v>
      </c>
      <c r="D153" s="129" t="s">
        <v>279</v>
      </c>
      <c r="E153" s="137" t="s">
        <v>357</v>
      </c>
      <c r="F153" s="129"/>
      <c r="G153" s="32"/>
    </row>
    <row r="154" spans="1:7">
      <c r="A154" s="7"/>
      <c r="B154" s="169"/>
      <c r="C154" s="32"/>
      <c r="D154" s="129"/>
      <c r="E154" s="137"/>
      <c r="F154" s="129"/>
      <c r="G154" s="32"/>
    </row>
    <row r="155" spans="1:7" ht="30">
      <c r="A155" s="7"/>
      <c r="B155" s="3"/>
      <c r="C155" s="32" t="s">
        <v>1148</v>
      </c>
      <c r="D155" s="152" t="s">
        <v>741</v>
      </c>
      <c r="E155" s="137" t="s">
        <v>1179</v>
      </c>
      <c r="F155" s="129"/>
      <c r="G155" s="32"/>
    </row>
    <row r="156" spans="1:7" ht="30">
      <c r="A156" s="7"/>
      <c r="B156" s="3"/>
      <c r="C156" s="32" t="s">
        <v>1139</v>
      </c>
      <c r="D156" s="152" t="s">
        <v>741</v>
      </c>
      <c r="E156" s="137" t="s">
        <v>1180</v>
      </c>
      <c r="F156" s="129"/>
      <c r="G156" s="32"/>
    </row>
    <row r="157" spans="1:7" ht="24" customHeight="1">
      <c r="A157" s="16" t="s">
        <v>1165</v>
      </c>
      <c r="B157" s="182" t="s">
        <v>1166</v>
      </c>
      <c r="C157" s="183"/>
      <c r="D157" s="183"/>
      <c r="E157" s="183"/>
      <c r="F157" s="183"/>
      <c r="G157" s="184"/>
    </row>
    <row r="158" spans="1:7" ht="60">
      <c r="A158" s="7"/>
      <c r="B158" s="168">
        <v>0</v>
      </c>
      <c r="C158" s="32" t="s">
        <v>1134</v>
      </c>
      <c r="D158" s="129" t="s">
        <v>276</v>
      </c>
      <c r="E158" s="137" t="s">
        <v>1167</v>
      </c>
      <c r="F158" s="129"/>
      <c r="G158" s="32"/>
    </row>
    <row r="159" spans="1:7">
      <c r="A159" s="7"/>
      <c r="B159" s="170"/>
      <c r="C159" s="32" t="s">
        <v>871</v>
      </c>
      <c r="D159" s="129" t="s">
        <v>276</v>
      </c>
      <c r="E159" s="137"/>
      <c r="F159" s="129"/>
      <c r="G159" s="32"/>
    </row>
    <row r="160" spans="1:7">
      <c r="A160" s="7"/>
      <c r="B160" s="169"/>
      <c r="C160" s="32" t="s">
        <v>1168</v>
      </c>
      <c r="D160" s="129" t="s">
        <v>279</v>
      </c>
      <c r="E160" s="137" t="s">
        <v>1169</v>
      </c>
      <c r="F160" s="129"/>
      <c r="G160" s="32"/>
    </row>
    <row r="161" spans="1:7" ht="30">
      <c r="A161" s="7"/>
      <c r="B161" s="168">
        <v>1</v>
      </c>
      <c r="C161" s="32" t="s">
        <v>1147</v>
      </c>
      <c r="D161" s="129" t="s">
        <v>279</v>
      </c>
      <c r="E161" s="137" t="s">
        <v>1170</v>
      </c>
      <c r="F161" s="129"/>
      <c r="G161" s="32"/>
    </row>
    <row r="162" spans="1:7">
      <c r="A162" s="7"/>
      <c r="B162" s="169"/>
      <c r="C162" s="32" t="s">
        <v>1138</v>
      </c>
      <c r="D162" s="129" t="s">
        <v>279</v>
      </c>
      <c r="E162" s="137" t="s">
        <v>357</v>
      </c>
      <c r="F162" s="129"/>
      <c r="G162" s="32"/>
    </row>
    <row r="163" spans="1:7" ht="45">
      <c r="A163" s="7"/>
      <c r="B163" s="3">
        <v>2</v>
      </c>
      <c r="C163" s="3" t="s">
        <v>1148</v>
      </c>
      <c r="D163" s="152" t="s">
        <v>276</v>
      </c>
      <c r="E163" s="137" t="s">
        <v>1205</v>
      </c>
      <c r="F163" s="129"/>
      <c r="G163" s="32"/>
    </row>
    <row r="164" spans="1:7">
      <c r="A164" s="7"/>
      <c r="B164" s="3"/>
      <c r="C164" s="32" t="s">
        <v>1139</v>
      </c>
      <c r="D164" s="129" t="s">
        <v>741</v>
      </c>
      <c r="E164" s="137" t="s">
        <v>1171</v>
      </c>
      <c r="F164" s="129"/>
      <c r="G164" s="32"/>
    </row>
    <row r="165" spans="1:7" ht="30">
      <c r="A165" s="7"/>
      <c r="B165" s="3"/>
      <c r="C165" s="153" t="s">
        <v>1118</v>
      </c>
      <c r="D165" s="154" t="s">
        <v>741</v>
      </c>
      <c r="E165" s="158" t="s">
        <v>1172</v>
      </c>
      <c r="F165" s="129" t="s">
        <v>1238</v>
      </c>
      <c r="G165" s="32"/>
    </row>
    <row r="166" spans="1:7" s="106" customFormat="1" ht="23.25" customHeight="1">
      <c r="A166" s="31" t="s">
        <v>1151</v>
      </c>
      <c r="B166" s="179" t="s">
        <v>1152</v>
      </c>
      <c r="C166" s="180"/>
      <c r="D166" s="180"/>
      <c r="E166" s="180"/>
      <c r="F166" s="180"/>
      <c r="G166" s="181"/>
    </row>
    <row r="167" spans="1:7">
      <c r="A167" s="7"/>
      <c r="B167" s="168">
        <v>0</v>
      </c>
      <c r="C167" s="32" t="s">
        <v>1153</v>
      </c>
      <c r="D167" s="129" t="s">
        <v>276</v>
      </c>
      <c r="E167" s="137" t="s">
        <v>1161</v>
      </c>
      <c r="F167" s="129"/>
      <c r="G167" s="32"/>
    </row>
    <row r="168" spans="1:7" ht="90">
      <c r="A168" s="7"/>
      <c r="B168" s="169"/>
      <c r="C168" s="3" t="s">
        <v>1154</v>
      </c>
      <c r="D168" s="152" t="s">
        <v>276</v>
      </c>
      <c r="E168" s="137" t="s">
        <v>1155</v>
      </c>
      <c r="F168" s="129"/>
      <c r="G168" s="32"/>
    </row>
    <row r="169" spans="1:7">
      <c r="A169" s="7"/>
      <c r="B169" s="162"/>
      <c r="C169" s="218" t="s">
        <v>1156</v>
      </c>
      <c r="D169" s="219"/>
      <c r="E169" s="219"/>
      <c r="F169" s="219"/>
      <c r="G169" s="220"/>
    </row>
    <row r="170" spans="1:7" ht="45">
      <c r="A170" s="7"/>
      <c r="B170" s="7"/>
      <c r="C170" s="6" t="s">
        <v>1157</v>
      </c>
      <c r="D170" s="5" t="s">
        <v>276</v>
      </c>
      <c r="E170" s="5" t="s">
        <v>1158</v>
      </c>
      <c r="F170" s="5"/>
      <c r="G170" s="6"/>
    </row>
    <row r="171" spans="1:7">
      <c r="A171" s="7"/>
      <c r="B171" s="162"/>
      <c r="C171" s="218" t="s">
        <v>855</v>
      </c>
      <c r="D171" s="219"/>
      <c r="E171" s="219"/>
      <c r="F171" s="219"/>
      <c r="G171" s="220"/>
    </row>
    <row r="172" spans="1:7">
      <c r="A172" s="16" t="s">
        <v>1159</v>
      </c>
      <c r="B172" s="179" t="s">
        <v>1160</v>
      </c>
      <c r="C172" s="180"/>
      <c r="D172" s="180"/>
      <c r="E172" s="180"/>
      <c r="F172" s="180"/>
      <c r="G172" s="181"/>
    </row>
    <row r="173" spans="1:7" ht="45">
      <c r="A173" s="16"/>
      <c r="B173" s="174">
        <v>0</v>
      </c>
      <c r="C173" s="87" t="s">
        <v>1202</v>
      </c>
      <c r="D173" s="87" t="s">
        <v>276</v>
      </c>
      <c r="E173" s="157" t="s">
        <v>1203</v>
      </c>
      <c r="F173" s="127"/>
      <c r="G173" s="127"/>
    </row>
    <row r="174" spans="1:7">
      <c r="A174" s="7"/>
      <c r="B174" s="175"/>
      <c r="C174" s="32" t="s">
        <v>1162</v>
      </c>
      <c r="D174" s="129" t="s">
        <v>276</v>
      </c>
      <c r="E174" s="137" t="s">
        <v>1163</v>
      </c>
      <c r="F174" s="129"/>
      <c r="G174" s="32"/>
    </row>
    <row r="175" spans="1:7" ht="60">
      <c r="A175" s="7"/>
      <c r="B175" s="22" t="s">
        <v>1237</v>
      </c>
      <c r="C175" s="32" t="s">
        <v>1164</v>
      </c>
      <c r="D175" s="129" t="s">
        <v>744</v>
      </c>
      <c r="E175" s="137" t="s">
        <v>1206</v>
      </c>
      <c r="F175" s="129"/>
      <c r="G175" s="32"/>
    </row>
    <row r="176" spans="1:7" ht="23.25" customHeight="1">
      <c r="A176" s="16" t="s">
        <v>1173</v>
      </c>
      <c r="B176" s="179" t="s">
        <v>1174</v>
      </c>
      <c r="C176" s="180"/>
      <c r="D176" s="180"/>
      <c r="E176" s="180"/>
      <c r="F176" s="180"/>
      <c r="G176" s="181"/>
    </row>
    <row r="177" spans="1:8" ht="45">
      <c r="A177" s="7"/>
      <c r="B177" s="168">
        <v>0</v>
      </c>
      <c r="C177" s="3" t="s">
        <v>1175</v>
      </c>
      <c r="D177" s="152" t="s">
        <v>276</v>
      </c>
      <c r="E177" s="5" t="s">
        <v>1176</v>
      </c>
      <c r="F177" s="129"/>
      <c r="G177" s="32"/>
    </row>
    <row r="178" spans="1:8" ht="45">
      <c r="A178" s="7"/>
      <c r="B178" s="169"/>
      <c r="C178" s="3" t="s">
        <v>1177</v>
      </c>
      <c r="D178" s="152" t="s">
        <v>276</v>
      </c>
      <c r="E178" s="5" t="s">
        <v>1178</v>
      </c>
      <c r="F178" s="129"/>
      <c r="G178" s="32"/>
    </row>
    <row r="179" spans="1:8" s="106" customFormat="1" ht="22.5" customHeight="1">
      <c r="A179" s="16" t="s">
        <v>1183</v>
      </c>
      <c r="B179" s="179" t="s">
        <v>1184</v>
      </c>
      <c r="C179" s="180"/>
      <c r="D179" s="180"/>
      <c r="E179" s="180"/>
      <c r="F179" s="180"/>
      <c r="G179" s="181"/>
    </row>
    <row r="180" spans="1:8" ht="60">
      <c r="A180" s="7"/>
      <c r="B180" s="168">
        <v>0</v>
      </c>
      <c r="C180" s="32" t="s">
        <v>592</v>
      </c>
      <c r="D180" s="129" t="s">
        <v>276</v>
      </c>
      <c r="E180" s="137" t="s">
        <v>1185</v>
      </c>
      <c r="F180" s="129"/>
      <c r="G180" s="32"/>
    </row>
    <row r="181" spans="1:8" ht="30">
      <c r="A181" s="7"/>
      <c r="B181" s="169"/>
      <c r="C181" s="32" t="s">
        <v>1186</v>
      </c>
      <c r="D181" s="129" t="s">
        <v>276</v>
      </c>
      <c r="E181" s="137" t="s">
        <v>1199</v>
      </c>
      <c r="F181" s="129"/>
      <c r="G181" s="32"/>
    </row>
    <row r="182" spans="1:8" ht="60">
      <c r="A182" s="7"/>
      <c r="B182" s="22" t="s">
        <v>1237</v>
      </c>
      <c r="C182" s="32" t="s">
        <v>1187</v>
      </c>
      <c r="D182" s="129" t="s">
        <v>1200</v>
      </c>
      <c r="E182" s="137" t="s">
        <v>1188</v>
      </c>
      <c r="F182" s="129"/>
      <c r="G182" s="32"/>
    </row>
    <row r="183" spans="1:8" ht="23.25" customHeight="1">
      <c r="A183" s="7"/>
      <c r="B183" s="171" t="s">
        <v>1220</v>
      </c>
      <c r="C183" s="172"/>
      <c r="D183" s="172"/>
      <c r="E183" s="172"/>
      <c r="F183" s="172"/>
      <c r="G183" s="173"/>
      <c r="H183" s="17"/>
    </row>
    <row r="184" spans="1:8">
      <c r="A184" s="203"/>
      <c r="B184" s="168">
        <v>0</v>
      </c>
      <c r="C184" s="7" t="s">
        <v>4</v>
      </c>
      <c r="D184" s="9" t="s">
        <v>279</v>
      </c>
      <c r="E184" s="137" t="s">
        <v>930</v>
      </c>
      <c r="F184" s="9"/>
      <c r="G184" s="7"/>
    </row>
    <row r="185" spans="1:8">
      <c r="A185" s="204"/>
      <c r="B185" s="169"/>
      <c r="C185" s="7" t="s">
        <v>931</v>
      </c>
      <c r="D185" s="9" t="s">
        <v>279</v>
      </c>
      <c r="E185" s="137" t="s">
        <v>932</v>
      </c>
      <c r="F185" s="9"/>
      <c r="G185" s="7"/>
    </row>
    <row r="186" spans="1:8" s="106" customFormat="1">
      <c r="A186" s="204"/>
      <c r="B186" s="168">
        <v>1</v>
      </c>
      <c r="C186" s="4" t="s">
        <v>933</v>
      </c>
      <c r="D186" s="10" t="s">
        <v>279</v>
      </c>
      <c r="E186" s="137" t="s">
        <v>934</v>
      </c>
      <c r="F186" s="10"/>
      <c r="G186" s="12"/>
    </row>
    <row r="187" spans="1:8">
      <c r="A187" s="205"/>
      <c r="B187" s="169"/>
      <c r="C187" s="7" t="s">
        <v>623</v>
      </c>
      <c r="D187" s="9" t="s">
        <v>279</v>
      </c>
      <c r="E187" s="137" t="s">
        <v>178</v>
      </c>
      <c r="F187" s="9"/>
      <c r="G187" s="7"/>
    </row>
    <row r="188" spans="1:8" ht="17.25" customHeight="1">
      <c r="A188" s="7"/>
      <c r="B188" s="167"/>
      <c r="C188" s="206" t="s">
        <v>1030</v>
      </c>
      <c r="D188" s="207"/>
      <c r="E188" s="207"/>
      <c r="F188" s="207"/>
      <c r="G188" s="208"/>
    </row>
    <row r="189" spans="1:8" ht="75">
      <c r="A189" s="7"/>
      <c r="B189" s="168">
        <v>0</v>
      </c>
      <c r="C189" s="7" t="s">
        <v>935</v>
      </c>
      <c r="D189" s="9" t="s">
        <v>276</v>
      </c>
      <c r="E189" s="137" t="s">
        <v>936</v>
      </c>
      <c r="F189" s="9"/>
      <c r="G189" s="7"/>
    </row>
    <row r="190" spans="1:8">
      <c r="A190" s="7"/>
      <c r="B190" s="170"/>
      <c r="C190" s="128" t="s">
        <v>937</v>
      </c>
      <c r="D190" s="9" t="s">
        <v>279</v>
      </c>
      <c r="E190" s="137" t="s">
        <v>938</v>
      </c>
      <c r="F190" s="9"/>
      <c r="G190" s="7"/>
    </row>
    <row r="191" spans="1:8">
      <c r="A191" s="7"/>
      <c r="B191" s="169"/>
      <c r="C191" s="128" t="s">
        <v>623</v>
      </c>
      <c r="D191" s="9" t="s">
        <v>276</v>
      </c>
      <c r="E191" s="137" t="s">
        <v>1221</v>
      </c>
      <c r="F191" s="9"/>
      <c r="G191" s="7"/>
    </row>
    <row r="192" spans="1:8">
      <c r="A192" s="7"/>
      <c r="B192" s="3"/>
      <c r="C192" s="7" t="s">
        <v>939</v>
      </c>
      <c r="D192" s="9" t="s">
        <v>741</v>
      </c>
      <c r="E192" s="137" t="s">
        <v>1128</v>
      </c>
      <c r="F192" s="9"/>
      <c r="G192" s="7"/>
    </row>
    <row r="193" spans="1:7">
      <c r="A193" s="7"/>
      <c r="B193" s="167"/>
      <c r="C193" s="206" t="s">
        <v>855</v>
      </c>
      <c r="D193" s="207"/>
      <c r="E193" s="207"/>
      <c r="F193" s="207"/>
      <c r="G193" s="208"/>
    </row>
    <row r="194" spans="1:7">
      <c r="A194" s="7"/>
      <c r="B194" s="3"/>
      <c r="C194" s="124"/>
      <c r="D194" s="9"/>
      <c r="E194" s="137"/>
      <c r="F194" s="9"/>
      <c r="G194" s="7"/>
    </row>
    <row r="195" spans="1:7" ht="20.25" customHeight="1">
      <c r="A195" s="7"/>
      <c r="B195" s="171" t="s">
        <v>1031</v>
      </c>
      <c r="C195" s="172"/>
      <c r="D195" s="172"/>
      <c r="E195" s="172"/>
      <c r="F195" s="172"/>
      <c r="G195" s="173"/>
    </row>
    <row r="196" spans="1:7">
      <c r="A196" s="7"/>
      <c r="B196" s="168">
        <v>0</v>
      </c>
      <c r="C196" s="7" t="s">
        <v>4</v>
      </c>
      <c r="D196" s="9" t="s">
        <v>279</v>
      </c>
      <c r="E196" s="137" t="s">
        <v>930</v>
      </c>
      <c r="F196" s="9"/>
      <c r="G196" s="7"/>
    </row>
    <row r="197" spans="1:7">
      <c r="A197" s="7"/>
      <c r="B197" s="169"/>
      <c r="C197" s="7" t="s">
        <v>931</v>
      </c>
      <c r="D197" s="9" t="s">
        <v>279</v>
      </c>
      <c r="E197" s="137" t="s">
        <v>932</v>
      </c>
      <c r="F197" s="9"/>
      <c r="G197" s="7"/>
    </row>
    <row r="198" spans="1:7">
      <c r="A198" s="7"/>
      <c r="B198" s="3">
        <v>1</v>
      </c>
      <c r="C198" s="7" t="s">
        <v>933</v>
      </c>
      <c r="D198" s="9" t="s">
        <v>276</v>
      </c>
      <c r="E198" s="137" t="s">
        <v>1032</v>
      </c>
      <c r="F198" s="9"/>
      <c r="G198" s="7"/>
    </row>
    <row r="199" spans="1:7">
      <c r="A199" s="7"/>
      <c r="B199" s="167"/>
      <c r="C199" s="215" t="s">
        <v>1030</v>
      </c>
      <c r="D199" s="216"/>
      <c r="E199" s="216"/>
      <c r="F199" s="216"/>
      <c r="G199" s="217"/>
    </row>
    <row r="200" spans="1:7" ht="60">
      <c r="A200" s="7"/>
      <c r="B200" s="168">
        <v>0</v>
      </c>
      <c r="C200" s="4" t="s">
        <v>1033</v>
      </c>
      <c r="D200" s="10" t="s">
        <v>276</v>
      </c>
      <c r="E200" s="137" t="s">
        <v>1034</v>
      </c>
      <c r="F200" s="9"/>
      <c r="G200" s="7"/>
    </row>
    <row r="201" spans="1:7" ht="30">
      <c r="A201" s="7"/>
      <c r="B201" s="169"/>
      <c r="C201" s="7" t="s">
        <v>1035</v>
      </c>
      <c r="D201" s="9" t="s">
        <v>279</v>
      </c>
      <c r="E201" s="137" t="s">
        <v>1037</v>
      </c>
      <c r="F201" s="9"/>
      <c r="G201" s="7"/>
    </row>
    <row r="202" spans="1:7">
      <c r="A202" s="7"/>
      <c r="B202" s="3"/>
      <c r="C202" s="7" t="s">
        <v>1036</v>
      </c>
      <c r="D202" s="9" t="s">
        <v>741</v>
      </c>
      <c r="E202" s="137" t="s">
        <v>1127</v>
      </c>
      <c r="F202" s="9"/>
      <c r="G202" s="7"/>
    </row>
    <row r="203" spans="1:7">
      <c r="A203" s="7"/>
      <c r="B203" s="167"/>
      <c r="C203" s="215" t="s">
        <v>855</v>
      </c>
      <c r="D203" s="216"/>
      <c r="E203" s="216"/>
      <c r="F203" s="216"/>
      <c r="G203" s="217"/>
    </row>
    <row r="204" spans="1:7">
      <c r="A204" s="7"/>
      <c r="B204" s="7"/>
      <c r="C204" s="7"/>
      <c r="D204" s="9"/>
      <c r="E204" s="137"/>
      <c r="F204" s="9"/>
      <c r="G204" s="7"/>
    </row>
    <row r="205" spans="1:7" ht="25.5" customHeight="1">
      <c r="A205" s="7"/>
      <c r="B205" s="171" t="s">
        <v>1204</v>
      </c>
      <c r="C205" s="172"/>
      <c r="D205" s="172"/>
      <c r="E205" s="172"/>
      <c r="F205" s="172"/>
      <c r="G205" s="173"/>
    </row>
    <row r="206" spans="1:7">
      <c r="A206" s="7"/>
      <c r="B206" s="168">
        <v>0</v>
      </c>
      <c r="C206" s="7" t="s">
        <v>4</v>
      </c>
      <c r="D206" s="9" t="s">
        <v>279</v>
      </c>
      <c r="E206" s="137"/>
      <c r="F206" s="9"/>
      <c r="G206" s="7"/>
    </row>
    <row r="207" spans="1:7">
      <c r="A207" s="7"/>
      <c r="B207" s="169"/>
      <c r="C207" s="7" t="s">
        <v>30</v>
      </c>
      <c r="D207" s="9" t="s">
        <v>279</v>
      </c>
      <c r="E207" s="137"/>
      <c r="F207" s="9"/>
      <c r="G207" s="7"/>
    </row>
    <row r="208" spans="1:7">
      <c r="A208" s="7"/>
      <c r="B208" s="3">
        <v>1</v>
      </c>
      <c r="C208" s="7" t="s">
        <v>1121</v>
      </c>
      <c r="D208" s="9" t="s">
        <v>276</v>
      </c>
      <c r="E208" s="137" t="s">
        <v>1122</v>
      </c>
      <c r="F208" s="9"/>
      <c r="G208" s="7"/>
    </row>
    <row r="209" spans="1:7">
      <c r="A209" s="7"/>
      <c r="B209" s="167"/>
      <c r="C209" s="215" t="s">
        <v>1198</v>
      </c>
      <c r="D209" s="216"/>
      <c r="E209" s="216"/>
      <c r="F209" s="216"/>
      <c r="G209" s="217"/>
    </row>
    <row r="210" spans="1:7" ht="60">
      <c r="A210" s="7"/>
      <c r="B210" s="168">
        <v>0</v>
      </c>
      <c r="C210" s="7" t="s">
        <v>1123</v>
      </c>
      <c r="D210" s="9" t="s">
        <v>276</v>
      </c>
      <c r="E210" s="137" t="s">
        <v>1124</v>
      </c>
      <c r="F210" s="9"/>
      <c r="G210" s="7"/>
    </row>
    <row r="211" spans="1:7">
      <c r="A211" s="7"/>
      <c r="B211" s="169"/>
      <c r="C211" s="7" t="s">
        <v>1035</v>
      </c>
      <c r="D211" s="9" t="s">
        <v>279</v>
      </c>
      <c r="E211" s="137" t="s">
        <v>1126</v>
      </c>
      <c r="F211" s="9"/>
      <c r="G211" s="7"/>
    </row>
    <row r="212" spans="1:7">
      <c r="A212" s="7"/>
      <c r="B212" s="3"/>
      <c r="C212" s="7" t="s">
        <v>1125</v>
      </c>
      <c r="D212" s="9" t="s">
        <v>741</v>
      </c>
      <c r="E212" s="137" t="s">
        <v>1129</v>
      </c>
      <c r="F212" s="9"/>
      <c r="G212" s="7"/>
    </row>
    <row r="213" spans="1:7">
      <c r="A213" s="7"/>
      <c r="B213" s="167"/>
      <c r="C213" s="215" t="s">
        <v>855</v>
      </c>
      <c r="D213" s="216"/>
      <c r="E213" s="216"/>
      <c r="F213" s="216"/>
      <c r="G213" s="217"/>
    </row>
    <row r="214" spans="1:7">
      <c r="A214" s="7"/>
      <c r="B214" s="3"/>
      <c r="C214" s="7"/>
      <c r="D214" s="9"/>
      <c r="E214" s="137"/>
      <c r="F214" s="9"/>
      <c r="G214" s="7"/>
    </row>
    <row r="215" spans="1:7" ht="27.75" customHeight="1">
      <c r="A215" s="7"/>
      <c r="B215" s="171" t="s">
        <v>1207</v>
      </c>
      <c r="C215" s="172"/>
      <c r="D215" s="172"/>
      <c r="E215" s="172"/>
      <c r="F215" s="172"/>
      <c r="G215" s="173"/>
    </row>
    <row r="216" spans="1:7">
      <c r="A216" s="7"/>
      <c r="B216" s="168">
        <v>0</v>
      </c>
      <c r="C216" s="7" t="s">
        <v>4</v>
      </c>
      <c r="D216" s="9" t="s">
        <v>279</v>
      </c>
      <c r="E216" s="137"/>
      <c r="F216" s="9"/>
      <c r="G216" s="7"/>
    </row>
    <row r="217" spans="1:7">
      <c r="A217" s="7"/>
      <c r="B217" s="169"/>
      <c r="C217" s="7" t="s">
        <v>30</v>
      </c>
      <c r="D217" s="9" t="s">
        <v>279</v>
      </c>
      <c r="E217" s="137"/>
      <c r="F217" s="9"/>
      <c r="G217" s="7"/>
    </row>
    <row r="218" spans="1:7">
      <c r="A218" s="7"/>
      <c r="B218" s="3">
        <v>1</v>
      </c>
      <c r="C218" s="7" t="s">
        <v>1208</v>
      </c>
      <c r="D218" s="9" t="s">
        <v>276</v>
      </c>
      <c r="E218" s="137"/>
      <c r="F218" s="9"/>
      <c r="G218" s="7"/>
    </row>
    <row r="219" spans="1:7" ht="28.5" customHeight="1">
      <c r="A219" s="7"/>
      <c r="B219" s="167"/>
      <c r="C219" s="221" t="s">
        <v>1209</v>
      </c>
      <c r="D219" s="216"/>
      <c r="E219" s="216"/>
      <c r="F219" s="216"/>
      <c r="G219" s="217"/>
    </row>
    <row r="220" spans="1:7">
      <c r="A220" s="7"/>
      <c r="B220" s="168">
        <v>0</v>
      </c>
      <c r="C220" s="7" t="s">
        <v>1080</v>
      </c>
      <c r="D220" s="9" t="s">
        <v>279</v>
      </c>
      <c r="E220" s="137" t="s">
        <v>690</v>
      </c>
      <c r="F220" s="9"/>
      <c r="G220" s="7"/>
    </row>
    <row r="221" spans="1:7">
      <c r="A221" s="7"/>
      <c r="B221" s="170"/>
      <c r="C221" s="7" t="s">
        <v>833</v>
      </c>
      <c r="D221" s="9" t="s">
        <v>276</v>
      </c>
      <c r="E221" s="137"/>
      <c r="F221" s="9"/>
      <c r="G221" s="7"/>
    </row>
    <row r="222" spans="1:7" ht="30">
      <c r="A222" s="7"/>
      <c r="B222" s="169"/>
      <c r="C222" s="4" t="s">
        <v>1210</v>
      </c>
      <c r="D222" s="10" t="s">
        <v>276</v>
      </c>
      <c r="E222" s="137" t="s">
        <v>1218</v>
      </c>
      <c r="F222" s="9"/>
      <c r="G222" s="7"/>
    </row>
    <row r="223" spans="1:7">
      <c r="A223" s="7"/>
      <c r="B223" s="168">
        <v>1</v>
      </c>
      <c r="C223" s="7" t="s">
        <v>1211</v>
      </c>
      <c r="D223" s="9" t="s">
        <v>276</v>
      </c>
      <c r="E223" s="137" t="s">
        <v>357</v>
      </c>
      <c r="F223" s="9"/>
      <c r="G223" s="7"/>
    </row>
    <row r="224" spans="1:7">
      <c r="A224" s="7"/>
      <c r="B224" s="170"/>
      <c r="C224" s="7" t="s">
        <v>1212</v>
      </c>
      <c r="D224" s="9" t="s">
        <v>276</v>
      </c>
      <c r="E224" s="137" t="s">
        <v>357</v>
      </c>
      <c r="F224" s="9"/>
      <c r="G224" s="7"/>
    </row>
    <row r="225" spans="1:7" ht="30">
      <c r="A225" s="7"/>
      <c r="B225" s="169"/>
      <c r="C225" s="7" t="s">
        <v>1213</v>
      </c>
      <c r="D225" s="9" t="s">
        <v>276</v>
      </c>
      <c r="E225" s="137" t="s">
        <v>1214</v>
      </c>
      <c r="F225" s="9"/>
      <c r="G225" s="7"/>
    </row>
    <row r="226" spans="1:7">
      <c r="A226" s="7"/>
      <c r="B226" s="167"/>
      <c r="C226" s="222" t="s">
        <v>1215</v>
      </c>
      <c r="D226" s="223"/>
      <c r="E226" s="223"/>
      <c r="F226" s="223"/>
      <c r="G226" s="224"/>
    </row>
    <row r="227" spans="1:7">
      <c r="A227" s="7"/>
      <c r="B227" s="168"/>
      <c r="C227" s="7" t="s">
        <v>1216</v>
      </c>
      <c r="D227" s="9" t="s">
        <v>276</v>
      </c>
      <c r="E227" s="137"/>
      <c r="F227" s="9"/>
      <c r="G227" s="7"/>
    </row>
    <row r="228" spans="1:7">
      <c r="A228" s="7"/>
      <c r="B228" s="169"/>
      <c r="C228" s="7" t="s">
        <v>1217</v>
      </c>
      <c r="D228" s="9" t="s">
        <v>279</v>
      </c>
      <c r="E228" s="137"/>
      <c r="F228" s="9"/>
      <c r="G228" s="7"/>
    </row>
    <row r="229" spans="1:7">
      <c r="A229" s="7"/>
      <c r="B229" s="167"/>
      <c r="C229" s="222" t="s">
        <v>855</v>
      </c>
      <c r="D229" s="223"/>
      <c r="E229" s="223"/>
      <c r="F229" s="223"/>
      <c r="G229" s="224"/>
    </row>
    <row r="230" spans="1:7">
      <c r="A230" s="7"/>
      <c r="B230" s="167"/>
      <c r="C230" s="221" t="s">
        <v>855</v>
      </c>
      <c r="D230" s="216"/>
      <c r="E230" s="216"/>
      <c r="F230" s="216"/>
      <c r="G230" s="217"/>
    </row>
    <row r="231" spans="1:7">
      <c r="A231" s="7"/>
      <c r="B231" s="7"/>
      <c r="C231" s="7"/>
      <c r="D231" s="9"/>
      <c r="E231" s="137"/>
      <c r="F231" s="9"/>
      <c r="G231" s="7"/>
    </row>
    <row r="232" spans="1:7">
      <c r="A232" s="7"/>
      <c r="B232" s="7"/>
      <c r="C232" s="7"/>
      <c r="D232" s="9"/>
      <c r="E232" s="137"/>
      <c r="F232" s="9"/>
      <c r="G232" s="7"/>
    </row>
    <row r="233" spans="1:7">
      <c r="A233" s="7"/>
      <c r="B233" s="7"/>
      <c r="C233" s="7"/>
      <c r="D233" s="9"/>
      <c r="E233" s="137"/>
      <c r="F233" s="9"/>
      <c r="G233" s="7"/>
    </row>
    <row r="234" spans="1:7">
      <c r="A234" s="7"/>
      <c r="B234" s="7"/>
      <c r="C234" s="7"/>
      <c r="D234" s="9"/>
      <c r="E234" s="137"/>
      <c r="F234" s="9"/>
      <c r="G234" s="7"/>
    </row>
    <row r="235" spans="1:7">
      <c r="A235" s="7"/>
      <c r="B235" s="7"/>
      <c r="C235" s="7"/>
      <c r="D235" s="9"/>
      <c r="E235" s="137"/>
      <c r="F235" s="9"/>
      <c r="G235" s="7"/>
    </row>
    <row r="236" spans="1:7">
      <c r="A236" s="7"/>
      <c r="B236" s="7"/>
      <c r="C236" s="7"/>
      <c r="D236" s="9"/>
      <c r="E236" s="137"/>
      <c r="F236" s="9"/>
      <c r="G236" s="7"/>
    </row>
    <row r="237" spans="1:7">
      <c r="A237" s="7"/>
      <c r="B237" s="7"/>
      <c r="C237" s="7"/>
      <c r="D237" s="9"/>
      <c r="E237" s="137"/>
      <c r="F237" s="9"/>
      <c r="G237" s="7"/>
    </row>
    <row r="238" spans="1:7">
      <c r="A238" s="7"/>
      <c r="B238" s="7"/>
      <c r="C238" s="7"/>
      <c r="D238" s="9"/>
      <c r="E238" s="137"/>
      <c r="F238" s="9"/>
      <c r="G238" s="7"/>
    </row>
    <row r="239" spans="1:7">
      <c r="A239" s="7"/>
      <c r="B239" s="7"/>
      <c r="C239" s="7"/>
      <c r="D239" s="9"/>
      <c r="E239" s="137"/>
      <c r="F239" s="9"/>
      <c r="G239" s="7"/>
    </row>
    <row r="240" spans="1:7">
      <c r="A240" s="7"/>
      <c r="B240" s="7"/>
      <c r="C240" s="7"/>
      <c r="D240" s="9"/>
      <c r="E240" s="137"/>
      <c r="F240" s="9"/>
      <c r="G240" s="7"/>
    </row>
    <row r="241" spans="1:7">
      <c r="A241" s="7"/>
      <c r="B241" s="7"/>
      <c r="C241" s="7"/>
      <c r="D241" s="9"/>
      <c r="E241" s="137"/>
      <c r="F241" s="9"/>
      <c r="G241" s="7"/>
    </row>
    <row r="242" spans="1:7">
      <c r="A242" s="7"/>
      <c r="B242" s="7"/>
      <c r="C242" s="7"/>
      <c r="D242" s="9"/>
      <c r="E242" s="137"/>
      <c r="F242" s="9"/>
      <c r="G242" s="7"/>
    </row>
  </sheetData>
  <mergeCells count="94">
    <mergeCell ref="C229:G229"/>
    <mergeCell ref="C230:G230"/>
    <mergeCell ref="A184:A187"/>
    <mergeCell ref="C188:G188"/>
    <mergeCell ref="C27:G27"/>
    <mergeCell ref="C33:G33"/>
    <mergeCell ref="C36:G36"/>
    <mergeCell ref="B48:B50"/>
    <mergeCell ref="B51:B53"/>
    <mergeCell ref="B54:B56"/>
    <mergeCell ref="B57:B59"/>
    <mergeCell ref="B62:B64"/>
    <mergeCell ref="B65:B68"/>
    <mergeCell ref="B70:G70"/>
    <mergeCell ref="B71:B73"/>
    <mergeCell ref="B74:B76"/>
    <mergeCell ref="C169:G169"/>
    <mergeCell ref="C171:G171"/>
    <mergeCell ref="B39:B40"/>
    <mergeCell ref="B41:B42"/>
    <mergeCell ref="B43:B46"/>
    <mergeCell ref="E101:E104"/>
    <mergeCell ref="B138:G138"/>
    <mergeCell ref="B121:B123"/>
    <mergeCell ref="B124:B125"/>
    <mergeCell ref="B126:B129"/>
    <mergeCell ref="B130:B131"/>
    <mergeCell ref="B132:B133"/>
    <mergeCell ref="B134:B136"/>
    <mergeCell ref="C38:G38"/>
    <mergeCell ref="B8:G8"/>
    <mergeCell ref="B13:G13"/>
    <mergeCell ref="B14:G14"/>
    <mergeCell ref="B15:B16"/>
    <mergeCell ref="B17:B20"/>
    <mergeCell ref="B22:B25"/>
    <mergeCell ref="B28:B29"/>
    <mergeCell ref="B30:B32"/>
    <mergeCell ref="B79:G79"/>
    <mergeCell ref="B80:G80"/>
    <mergeCell ref="B81:B82"/>
    <mergeCell ref="B83:B85"/>
    <mergeCell ref="B86:B89"/>
    <mergeCell ref="B90:B91"/>
    <mergeCell ref="B92:B94"/>
    <mergeCell ref="B95:B96"/>
    <mergeCell ref="B102:B103"/>
    <mergeCell ref="B104:B107"/>
    <mergeCell ref="B97:B100"/>
    <mergeCell ref="B149:G149"/>
    <mergeCell ref="B108:B109"/>
    <mergeCell ref="B113:B115"/>
    <mergeCell ref="B116:B118"/>
    <mergeCell ref="B112:G112"/>
    <mergeCell ref="B120:G120"/>
    <mergeCell ref="B139:G139"/>
    <mergeCell ref="B140:B142"/>
    <mergeCell ref="B180:B181"/>
    <mergeCell ref="B173:B174"/>
    <mergeCell ref="B3:G3"/>
    <mergeCell ref="B167:B168"/>
    <mergeCell ref="B183:G183"/>
    <mergeCell ref="B166:G166"/>
    <mergeCell ref="B172:G172"/>
    <mergeCell ref="B176:G176"/>
    <mergeCell ref="B179:G179"/>
    <mergeCell ref="B157:G157"/>
    <mergeCell ref="B177:B178"/>
    <mergeCell ref="B143:B144"/>
    <mergeCell ref="B150:B152"/>
    <mergeCell ref="B153:B154"/>
    <mergeCell ref="B158:B160"/>
    <mergeCell ref="B161:B162"/>
    <mergeCell ref="B205:G205"/>
    <mergeCell ref="B195:G195"/>
    <mergeCell ref="B184:B185"/>
    <mergeCell ref="B186:B187"/>
    <mergeCell ref="B189:B191"/>
    <mergeCell ref="B196:B197"/>
    <mergeCell ref="B200:B201"/>
    <mergeCell ref="C203:G203"/>
    <mergeCell ref="C199:G199"/>
    <mergeCell ref="C193:G193"/>
    <mergeCell ref="B216:B217"/>
    <mergeCell ref="B220:B222"/>
    <mergeCell ref="B223:B225"/>
    <mergeCell ref="B227:B228"/>
    <mergeCell ref="B206:B207"/>
    <mergeCell ref="B210:B211"/>
    <mergeCell ref="B215:G215"/>
    <mergeCell ref="C209:G209"/>
    <mergeCell ref="C213:G213"/>
    <mergeCell ref="C219:G219"/>
    <mergeCell ref="C226:G226"/>
  </mergeCells>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UE L2&lt;-&gt;L1</vt:lpstr>
      <vt:lpstr>static config MAC</vt:lpstr>
      <vt:lpstr>Sheet2</vt:lpstr>
      <vt:lpstr>PL Register Layer</vt:lpstr>
      <vt:lpstr>L3 &lt;-&gt; L2</vt:lpstr>
      <vt:lpstr>gNB MAC-L1</vt:lpstr>
      <vt:lpstr>RRC-Message</vt:lpstr>
      <vt:lpstr>Sheet1</vt:lpstr>
      <vt:lpstr>gNB L2 &lt;-&gt; 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hai.nguyenhuu</dc:creator>
  <cp:lastModifiedBy>hai.nguyenhuu</cp:lastModifiedBy>
  <dcterms:created xsi:type="dcterms:W3CDTF">2026-02-06T09:26:16Z</dcterms:created>
  <dcterms:modified xsi:type="dcterms:W3CDTF">2026-08-21T12:06:19Z</dcterms:modified>
</cp:coreProperties>
</file>